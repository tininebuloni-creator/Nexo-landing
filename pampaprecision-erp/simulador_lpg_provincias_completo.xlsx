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Proyectos\pampaprecision-erp\Nueva carpeta\"/>
    </mc:Choice>
  </mc:AlternateContent>
  <bookViews>
    <workbookView xWindow="0" yWindow="0" windowWidth="21795" windowHeight="12090"/>
  </bookViews>
  <sheets>
    <sheet name="Simulador_LPG" sheetId="1" r:id="rId1"/>
    <sheet name="Configuracion" sheetId="2" state="hidden" r:id="rId2"/>
  </sheets>
  <calcPr calcId="152511"/>
</workbook>
</file>

<file path=xl/calcChain.xml><?xml version="1.0" encoding="utf-8"?>
<calcChain xmlns="http://schemas.openxmlformats.org/spreadsheetml/2006/main">
  <c r="E9" i="1" l="1"/>
  <c r="E10" i="1"/>
  <c r="F10" i="1" s="1"/>
  <c r="H10" i="1" s="1"/>
  <c r="E11" i="1"/>
  <c r="F11" i="1" s="1"/>
  <c r="H11" i="1" s="1"/>
  <c r="E12" i="1"/>
  <c r="F12" i="1" s="1"/>
  <c r="H12" i="1" s="1"/>
  <c r="C18" i="1"/>
  <c r="C17" i="1"/>
  <c r="C16" i="1"/>
  <c r="C15" i="1"/>
  <c r="F9" i="1"/>
  <c r="E6" i="1"/>
  <c r="E5" i="1"/>
  <c r="E4" i="1"/>
  <c r="H9" i="1" l="1"/>
  <c r="B16" i="1"/>
  <c r="D16" i="1"/>
  <c r="E16" i="1" s="1"/>
  <c r="D17" i="1"/>
  <c r="B17" i="1"/>
  <c r="E17" i="1"/>
  <c r="D18" i="1"/>
  <c r="B18" i="1"/>
  <c r="E18" i="1" s="1"/>
  <c r="F18" i="1" l="1"/>
  <c r="G18" i="1"/>
  <c r="H18" i="1" s="1"/>
  <c r="G16" i="1"/>
  <c r="F16" i="1"/>
  <c r="H16" i="1" s="1"/>
  <c r="G17" i="1"/>
  <c r="F17" i="1"/>
  <c r="H17" i="1" s="1"/>
  <c r="D15" i="1"/>
  <c r="B15" i="1"/>
  <c r="E15" i="1" l="1"/>
  <c r="G15" i="1" l="1"/>
  <c r="F15" i="1"/>
  <c r="H15" i="1" l="1"/>
</calcChain>
</file>

<file path=xl/sharedStrings.xml><?xml version="1.0" encoding="utf-8"?>
<sst xmlns="http://schemas.openxmlformats.org/spreadsheetml/2006/main" count="67" uniqueCount="66">
  <si>
    <t>SIMULADOR DE LIQUIDACIÓN PRIMARIA DE GRANOS (LPG) - MULTIPROVINCIA</t>
  </si>
  <si>
    <t>PARAMETROS DE ENTRADA (Modificables sin acentos)</t>
  </si>
  <si>
    <t>Provincia del Contrato:</t>
  </si>
  <si>
    <t>La Pampa</t>
  </si>
  <si>
    <t>Alícuota Sello:</t>
  </si>
  <si>
    <t>Estado SISA (1, 2, 3):</t>
  </si>
  <si>
    <t>Retención IVA:</t>
  </si>
  <si>
    <t>Retención Ganancias:</t>
  </si>
  <si>
    <t>Producto</t>
  </si>
  <si>
    <t>Kg Brutos</t>
  </si>
  <si>
    <t>Hum. Rec %</t>
  </si>
  <si>
    <t>Hum. Tol %</t>
  </si>
  <si>
    <t>Merma Hum %</t>
  </si>
  <si>
    <t>Kg Netos</t>
  </si>
  <si>
    <t>Precio Pizarra ($/Tn)</t>
  </si>
  <si>
    <t>Subtotal Bruto ($)</t>
  </si>
  <si>
    <t>Comisión Acopio (2%)</t>
  </si>
  <si>
    <t>Flete Estimado ($)</t>
  </si>
  <si>
    <t>Imp. Sello ($)</t>
  </si>
  <si>
    <t>Base Imp. IVA ($)</t>
  </si>
  <si>
    <t>IVA (10.5%)</t>
  </si>
  <si>
    <t>Ret. SISA ($)</t>
  </si>
  <si>
    <t>Neto a Cobrar ($)</t>
  </si>
  <si>
    <t>SOJA</t>
  </si>
  <si>
    <t>MAIZ</t>
  </si>
  <si>
    <t>TRIGO</t>
  </si>
  <si>
    <t>GIRASOL</t>
  </si>
  <si>
    <t>Provincia Entrada</t>
  </si>
  <si>
    <t>Alícuota Sello</t>
  </si>
  <si>
    <t>SANTA FE</t>
  </si>
  <si>
    <t>santa fe</t>
  </si>
  <si>
    <t>Santa Fe</t>
  </si>
  <si>
    <t>CORDOBA</t>
  </si>
  <si>
    <t>cordoba</t>
  </si>
  <si>
    <t>Cordoba</t>
  </si>
  <si>
    <t>CÓRDOBA</t>
  </si>
  <si>
    <t>Córdoba</t>
  </si>
  <si>
    <t>BUENOS AIRES</t>
  </si>
  <si>
    <t>buenos aires</t>
  </si>
  <si>
    <t>Buenos Aires</t>
  </si>
  <si>
    <t>Bs As</t>
  </si>
  <si>
    <t>bs as</t>
  </si>
  <si>
    <t>ENTRE RIOS</t>
  </si>
  <si>
    <t>entre rios</t>
  </si>
  <si>
    <t>Entre Rios</t>
  </si>
  <si>
    <t>ENTRE RÍOS</t>
  </si>
  <si>
    <t>Entre Ríos</t>
  </si>
  <si>
    <t>SANTIAGO DEL ESTERO</t>
  </si>
  <si>
    <t>santiago del estero</t>
  </si>
  <si>
    <t>Santiago del Estero</t>
  </si>
  <si>
    <t>LA PAMPA</t>
  </si>
  <si>
    <t>la pampa</t>
  </si>
  <si>
    <t>CHACO</t>
  </si>
  <si>
    <t>chaco</t>
  </si>
  <si>
    <t>Chaco</t>
  </si>
  <si>
    <t>SAN LUIS</t>
  </si>
  <si>
    <t>san luis</t>
  </si>
  <si>
    <t>San Luis</t>
  </si>
  <si>
    <t>SALTA</t>
  </si>
  <si>
    <t>salta</t>
  </si>
  <si>
    <t>Salta</t>
  </si>
  <si>
    <t>TUCUMAN</t>
  </si>
  <si>
    <t>tucuman</t>
  </si>
  <si>
    <t>Tucuman</t>
  </si>
  <si>
    <t>TUCUMÁN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</si>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</sst>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\$#,##0.0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2E5A27"/>
      <name val="Calibri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sz val="11"/>
      <color theme="3" tint="-0.249977111117893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E8F0E6"/>
        <bgColor rgb="FFE8F0E6"/>
      </patternFill>
    </fill>
    <fill>
      <patternFill patternType="solid">
        <fgColor rgb="FF2E5A27"/>
        <bgColor rgb="FF2E5A27"/>
      </patternFill>
    </fill>
    <fill>
      <patternFill patternType="solid">
        <fgColor rgb="FFF2F2F2"/>
        <b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3" fillId="0" borderId="1" xfId="0" applyFont="1" applyBorder="1" applyProtection="1">
      <protection locked="0"/>
    </xf>
    <xf numFmtId="0" fontId="3" fillId="5" borderId="1" xfId="0" applyFont="1" applyFill="1" applyBorder="1" applyProtection="1">
      <protection locked="0"/>
    </xf>
    <xf numFmtId="165" fontId="3" fillId="3" borderId="2" xfId="0" applyNumberFormat="1" applyFont="1" applyFill="1" applyBorder="1" applyProtection="1"/>
    <xf numFmtId="164" fontId="4" fillId="6" borderId="1" xfId="0" applyNumberFormat="1" applyFont="1" applyFill="1" applyBorder="1" applyProtection="1"/>
    <xf numFmtId="164" fontId="4" fillId="7" borderId="1" xfId="0" applyNumberFormat="1" applyFont="1" applyFill="1" applyBorder="1" applyProtection="1"/>
    <xf numFmtId="3" fontId="4" fillId="6" borderId="1" xfId="0" applyNumberFormat="1" applyFont="1" applyFill="1" applyBorder="1" applyProtection="1"/>
    <xf numFmtId="3" fontId="4" fillId="7" borderId="1" xfId="0" applyNumberFormat="1" applyFont="1" applyFill="1" applyBorder="1" applyProtection="1"/>
    <xf numFmtId="165" fontId="4" fillId="6" borderId="1" xfId="0" applyNumberFormat="1" applyFont="1" applyFill="1" applyBorder="1" applyProtection="1"/>
    <xf numFmtId="165" fontId="4" fillId="7" borderId="1" xfId="0" applyNumberFormat="1" applyFont="1" applyFill="1" applyBorder="1" applyProtection="1"/>
    <xf numFmtId="3" fontId="6" fillId="0" borderId="1" xfId="0" applyNumberFormat="1" applyFont="1" applyBorder="1" applyProtection="1">
      <protection locked="0"/>
    </xf>
    <xf numFmtId="164" fontId="6" fillId="0" borderId="1" xfId="0" applyNumberFormat="1" applyFont="1" applyBorder="1" applyProtection="1"/>
    <xf numFmtId="164" fontId="6" fillId="0" borderId="1" xfId="0" applyNumberFormat="1" applyFont="1" applyBorder="1" applyProtection="1">
      <protection locked="0"/>
    </xf>
    <xf numFmtId="3" fontId="6" fillId="5" borderId="1" xfId="0" applyNumberFormat="1" applyFont="1" applyFill="1" applyBorder="1" applyProtection="1">
      <protection locked="0"/>
    </xf>
    <xf numFmtId="164" fontId="6" fillId="5" borderId="1" xfId="0" applyNumberFormat="1" applyFont="1" applyFill="1" applyBorder="1" applyProtection="1"/>
    <xf numFmtId="164" fontId="6" fillId="5" borderId="1" xfId="0" applyNumberFormat="1" applyFont="1" applyFill="1" applyBorder="1" applyProtection="1">
      <protection locked="0"/>
    </xf>
    <xf numFmtId="165" fontId="6" fillId="0" borderId="1" xfId="0" applyNumberFormat="1" applyFont="1" applyBorder="1" applyProtection="1">
      <protection locked="0"/>
    </xf>
    <xf numFmtId="165" fontId="6" fillId="5" borderId="1" xfId="0" applyNumberFormat="1" applyFont="1" applyFill="1" applyBorder="1" applyProtection="1">
      <protection locked="0"/>
    </xf>
    <xf numFmtId="164" fontId="3" fillId="6" borderId="0" xfId="0" applyNumberFormat="1" applyFont="1" applyFill="1" applyProtection="1"/>
    <xf numFmtId="164" fontId="5" fillId="6" borderId="0" xfId="0" applyNumberFormat="1" applyFont="1" applyFill="1" applyProtection="1"/>
    <xf numFmtId="165" fontId="7" fillId="6" borderId="1" xfId="0" applyNumberFormat="1" applyFont="1" applyFill="1" applyBorder="1" applyProtection="1"/>
    <xf numFmtId="165" fontId="7" fillId="7" borderId="1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F12" sqref="F12"/>
    </sheetView>
  </sheetViews>
  <sheetFormatPr baseColWidth="10" defaultColWidth="9.140625" defaultRowHeight="15"/>
  <cols>
    <col min="1" max="1" width="24.85546875" style="4" customWidth="1"/>
    <col min="2" max="2" width="11.140625" style="4" bestFit="1" customWidth="1"/>
    <col min="3" max="3" width="11.28515625" style="4" bestFit="1" customWidth="1"/>
    <col min="4" max="4" width="20" style="4" bestFit="1" customWidth="1"/>
    <col min="5" max="5" width="14" style="4" bestFit="1" customWidth="1"/>
    <col min="6" max="6" width="21" style="4" customWidth="1"/>
    <col min="7" max="7" width="24" style="4" customWidth="1"/>
    <col min="8" max="8" width="21" style="4" customWidth="1"/>
    <col min="9" max="9" width="23" style="4" customWidth="1"/>
    <col min="10" max="10" width="21" style="4" customWidth="1"/>
    <col min="11" max="11" width="17" style="4" customWidth="1"/>
    <col min="12" max="12" width="20" style="4" customWidth="1"/>
    <col min="13" max="13" width="15" style="4" customWidth="1"/>
    <col min="14" max="14" width="19" style="4" customWidth="1"/>
    <col min="15" max="15" width="20" style="4" customWidth="1"/>
    <col min="16" max="16384" width="9.140625" style="4"/>
  </cols>
  <sheetData>
    <row r="1" spans="1:8" ht="21">
      <c r="A1" s="3" t="s">
        <v>0</v>
      </c>
    </row>
    <row r="3" spans="1:8">
      <c r="A3" s="5" t="s">
        <v>1</v>
      </c>
    </row>
    <row r="4" spans="1:8">
      <c r="A4" s="6" t="s">
        <v>2</v>
      </c>
      <c r="B4" s="7" t="s">
        <v>3</v>
      </c>
      <c r="D4" s="5" t="s">
        <v>4</v>
      </c>
      <c r="E4" s="26">
        <f>IFERROR(VLOOKUP(B4, Configuracion!A:B, 2, FALSE), 0.012)</f>
        <v>0.01</v>
      </c>
    </row>
    <row r="5" spans="1:8">
      <c r="A5" s="6" t="s">
        <v>5</v>
      </c>
      <c r="B5" s="7">
        <v>1</v>
      </c>
      <c r="D5" s="4" t="s">
        <v>6</v>
      </c>
      <c r="E5" s="27">
        <f>IF(B5=1, 0.015, IF(B5=2, 0.06, 0.08))</f>
        <v>1.4999999999999999E-2</v>
      </c>
    </row>
    <row r="6" spans="1:8">
      <c r="D6" s="4" t="s">
        <v>7</v>
      </c>
      <c r="E6" s="27">
        <f>IF(B5=1, 0.005, IF(B5=2, 0.02, 0.15))</f>
        <v>5.0000000000000001E-3</v>
      </c>
    </row>
    <row r="8" spans="1:8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</row>
    <row r="9" spans="1:8">
      <c r="A9" s="9" t="s">
        <v>23</v>
      </c>
      <c r="B9" s="18">
        <v>30000</v>
      </c>
      <c r="C9" s="19">
        <v>0.155</v>
      </c>
      <c r="D9" s="20">
        <v>0.13500000000000001</v>
      </c>
      <c r="E9" s="12">
        <f>IF(C9&gt;D9, (C9-D9)/(1-D9), 0)</f>
        <v>2.3121387283236983E-2</v>
      </c>
      <c r="F9" s="14">
        <f>B9*(1-E9)*0.985</f>
        <v>28866.763005780347</v>
      </c>
      <c r="G9" s="24">
        <v>320000</v>
      </c>
      <c r="H9" s="16">
        <f>(F9/1000)*G9</f>
        <v>9237364.1618497111</v>
      </c>
    </row>
    <row r="10" spans="1:8">
      <c r="A10" s="10" t="s">
        <v>24</v>
      </c>
      <c r="B10" s="21">
        <v>45000</v>
      </c>
      <c r="C10" s="22">
        <v>0.17</v>
      </c>
      <c r="D10" s="23">
        <v>0.14499999999999999</v>
      </c>
      <c r="E10" s="13">
        <f>IF(C10&gt;D10, (C10-D10)/(1-D10), 0)</f>
        <v>2.9239766081871371E-2</v>
      </c>
      <c r="F10" s="15">
        <f>B10*(1-E10)*0.985</f>
        <v>43028.947368421046</v>
      </c>
      <c r="G10" s="25">
        <v>180000</v>
      </c>
      <c r="H10" s="17">
        <f>(F10/1000)*G10</f>
        <v>7745210.5263157878</v>
      </c>
    </row>
    <row r="11" spans="1:8">
      <c r="A11" s="9" t="s">
        <v>25</v>
      </c>
      <c r="B11" s="18">
        <v>28000</v>
      </c>
      <c r="C11" s="19">
        <v>0.13</v>
      </c>
      <c r="D11" s="20">
        <v>0.14000000000000001</v>
      </c>
      <c r="E11" s="12">
        <f>IF(C11&gt;D11, (C11-D11)/(1-D11), 0)</f>
        <v>0</v>
      </c>
      <c r="F11" s="14">
        <f>B11*(1-E11)*0.985</f>
        <v>27580</v>
      </c>
      <c r="G11" s="24">
        <v>210000</v>
      </c>
      <c r="H11" s="16">
        <f>(F11/1000)*G11</f>
        <v>5791800</v>
      </c>
    </row>
    <row r="12" spans="1:8">
      <c r="A12" s="10" t="s">
        <v>26</v>
      </c>
      <c r="B12" s="21">
        <v>22000</v>
      </c>
      <c r="C12" s="22">
        <v>0.125</v>
      </c>
      <c r="D12" s="23">
        <v>0.11</v>
      </c>
      <c r="E12" s="13">
        <f>IF(C12&gt;D12, (C12-D12)/(1-D12), 0)</f>
        <v>1.6853932584269662E-2</v>
      </c>
      <c r="F12" s="15">
        <f>B12*(1-E12)*0.985</f>
        <v>21304.775280898877</v>
      </c>
      <c r="G12" s="25">
        <v>350000</v>
      </c>
      <c r="H12" s="17">
        <f>(F12/1000)*G12</f>
        <v>7456671.3483146066</v>
      </c>
    </row>
    <row r="14" spans="1:8" ht="45">
      <c r="B14" s="8" t="s">
        <v>16</v>
      </c>
      <c r="C14" s="8" t="s">
        <v>17</v>
      </c>
      <c r="D14" s="8" t="s">
        <v>18</v>
      </c>
      <c r="E14" s="8" t="s">
        <v>19</v>
      </c>
      <c r="F14" s="8" t="s">
        <v>20</v>
      </c>
      <c r="G14" s="8" t="s">
        <v>21</v>
      </c>
      <c r="H14" s="8" t="s">
        <v>22</v>
      </c>
    </row>
    <row r="15" spans="1:8">
      <c r="B15" s="16">
        <f>H9*0.02</f>
        <v>184747.28323699423</v>
      </c>
      <c r="C15" s="16">
        <f>(B9/1000)*6500</f>
        <v>195000</v>
      </c>
      <c r="D15" s="16">
        <f>H9*$E$4</f>
        <v>92373.641618497117</v>
      </c>
      <c r="E15" s="16">
        <f>H9-B15-C15-D15</f>
        <v>8765243.2369942199</v>
      </c>
      <c r="F15" s="16">
        <f>E15*0.105</f>
        <v>920350.5398843931</v>
      </c>
      <c r="G15" s="16">
        <f>E15*($E$5+$E$6)</f>
        <v>175304.86473988439</v>
      </c>
      <c r="H15" s="28">
        <f>E15+F15-G15</f>
        <v>9510288.9121387303</v>
      </c>
    </row>
    <row r="16" spans="1:8">
      <c r="B16" s="17">
        <f>H10*0.02</f>
        <v>154904.21052631576</v>
      </c>
      <c r="C16" s="17">
        <f>(B10/1000)*6500</f>
        <v>292500</v>
      </c>
      <c r="D16" s="17">
        <f>H10*$E$4</f>
        <v>77452.105263157879</v>
      </c>
      <c r="E16" s="17">
        <f>H10-B16-C16-D16</f>
        <v>7220354.2105263146</v>
      </c>
      <c r="F16" s="17">
        <f>E16*0.105</f>
        <v>758137.19210526301</v>
      </c>
      <c r="G16" s="17">
        <f>E16*($E$5+$E$6)</f>
        <v>144407.08421052629</v>
      </c>
      <c r="H16" s="29">
        <f>E16+F16-G16</f>
        <v>7834084.3184210509</v>
      </c>
    </row>
    <row r="17" spans="2:8">
      <c r="B17" s="16">
        <f>H11*0.02</f>
        <v>115836</v>
      </c>
      <c r="C17" s="16">
        <f>(B11/1000)*6500</f>
        <v>182000</v>
      </c>
      <c r="D17" s="16">
        <f>H11*$E$4</f>
        <v>57918</v>
      </c>
      <c r="E17" s="16">
        <f>H11-B17-C17-D17</f>
        <v>5436046</v>
      </c>
      <c r="F17" s="16">
        <f>E17*0.105</f>
        <v>570784.82999999996</v>
      </c>
      <c r="G17" s="16">
        <f>E17*($E$5+$E$6)</f>
        <v>108720.92</v>
      </c>
      <c r="H17" s="28">
        <f>E17+F17-G17</f>
        <v>5898109.9100000001</v>
      </c>
    </row>
    <row r="18" spans="2:8">
      <c r="B18" s="17">
        <f>H12*0.02</f>
        <v>149133.42696629214</v>
      </c>
      <c r="C18" s="17">
        <f>(B12/1000)*6500</f>
        <v>143000</v>
      </c>
      <c r="D18" s="17">
        <f>H12*$E$4</f>
        <v>74566.713483146072</v>
      </c>
      <c r="E18" s="17">
        <f>H12-B18-C18-D18</f>
        <v>7089971.2078651683</v>
      </c>
      <c r="F18" s="17">
        <f>E18*0.105</f>
        <v>744446.97682584263</v>
      </c>
      <c r="G18" s="17">
        <f>E18*($E$5+$E$6)</f>
        <v>141799.42415730338</v>
      </c>
      <c r="H18" s="29">
        <f>E18+F18-G18</f>
        <v>7692618.7605337072</v>
      </c>
    </row>
    <row r="19" spans="2:8" ht="15.75" thickBot="1">
      <c r="B19" s="11"/>
      <c r="C19" s="11"/>
      <c r="D19" s="11"/>
      <c r="E19" s="11"/>
      <c r="F19" s="11"/>
      <c r="G19" s="11"/>
      <c r="H19" s="11"/>
    </row>
    <row r="20" spans="2:8" ht="15.75" thickTop="1"/>
  </sheetData>
  <sheetProtection algorithmName="SHA-512" hashValue="HLLu4pnX6F9EFE7NgBcTBxBCa5USfZR19knIsWPkfDXC6tqGLyR8RmSpPka2zhhLKj3i+G+xgbtU8bc2Tp5nfg==" saltValue="Y4IYmnGgjMIwW7s1VqV+Ig==" spinCount="100000" sheet="1" objects="1" scenarios="1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opLeftCell="C1" workbookViewId="0">
      <selection sqref="A1:B1048576"/>
    </sheetView>
  </sheetViews>
  <sheetFormatPr baseColWidth="10" defaultColWidth="9.140625" defaultRowHeight="15"/>
  <cols>
    <col min="1" max="1" width="18" hidden="1" customWidth="1"/>
    <col min="2" max="2" width="0" hidden="1" customWidth="1"/>
  </cols>
  <sheetData>
    <row r="1" spans="1:2">
      <c r="A1" s="2" t="s">
        <v>27</v>
      </c>
      <c r="B1" s="2" t="s">
        <v>28</v>
      </c>
    </row>
    <row r="2" spans="1:2">
      <c r="A2" t="s">
        <v>29</v>
      </c>
      <c r="B2" s="1">
        <v>0.01</v>
      </c>
    </row>
    <row r="3" spans="1:2">
      <c r="A3" t="s">
        <v>30</v>
      </c>
      <c r="B3" s="1">
        <v>0.01</v>
      </c>
    </row>
    <row r="4" spans="1:2">
      <c r="A4" t="s">
        <v>31</v>
      </c>
      <c r="B4" s="1">
        <v>0.01</v>
      </c>
    </row>
    <row r="5" spans="1:2">
      <c r="A5" t="s">
        <v>32</v>
      </c>
      <c r="B5" s="1">
        <v>1.2E-2</v>
      </c>
    </row>
    <row r="6" spans="1:2">
      <c r="A6" t="s">
        <v>33</v>
      </c>
      <c r="B6" s="1">
        <v>1.2E-2</v>
      </c>
    </row>
    <row r="7" spans="1:2">
      <c r="A7" t="s">
        <v>34</v>
      </c>
      <c r="B7" s="1">
        <v>1.2E-2</v>
      </c>
    </row>
    <row r="8" spans="1:2">
      <c r="A8" t="s">
        <v>35</v>
      </c>
      <c r="B8" s="1">
        <v>1.2E-2</v>
      </c>
    </row>
    <row r="9" spans="1:2">
      <c r="A9" t="s">
        <v>36</v>
      </c>
      <c r="B9" s="1">
        <v>1.2E-2</v>
      </c>
    </row>
    <row r="10" spans="1:2">
      <c r="A10" t="s">
        <v>37</v>
      </c>
      <c r="B10" s="1">
        <v>1.2E-2</v>
      </c>
    </row>
    <row r="11" spans="1:2">
      <c r="A11" t="s">
        <v>38</v>
      </c>
      <c r="B11" s="1">
        <v>1.2E-2</v>
      </c>
    </row>
    <row r="12" spans="1:2">
      <c r="A12" t="s">
        <v>39</v>
      </c>
      <c r="B12" s="1">
        <v>1.2E-2</v>
      </c>
    </row>
    <row r="13" spans="1:2">
      <c r="A13" t="s">
        <v>40</v>
      </c>
      <c r="B13" s="1">
        <v>1.2E-2</v>
      </c>
    </row>
    <row r="14" spans="1:2">
      <c r="A14" t="s">
        <v>41</v>
      </c>
      <c r="B14" s="1">
        <v>1.2E-2</v>
      </c>
    </row>
    <row r="15" spans="1:2">
      <c r="A15" t="s">
        <v>42</v>
      </c>
      <c r="B15" s="1">
        <v>1.4E-2</v>
      </c>
    </row>
    <row r="16" spans="1:2">
      <c r="A16" t="s">
        <v>43</v>
      </c>
      <c r="B16" s="1">
        <v>1.4E-2</v>
      </c>
    </row>
    <row r="17" spans="1:2">
      <c r="A17" t="s">
        <v>44</v>
      </c>
      <c r="B17" s="1">
        <v>1.4E-2</v>
      </c>
    </row>
    <row r="18" spans="1:2">
      <c r="A18" t="s">
        <v>45</v>
      </c>
      <c r="B18" s="1">
        <v>1.4E-2</v>
      </c>
    </row>
    <row r="19" spans="1:2">
      <c r="A19" t="s">
        <v>46</v>
      </c>
      <c r="B19" s="1">
        <v>1.4E-2</v>
      </c>
    </row>
    <row r="20" spans="1:2">
      <c r="A20" t="s">
        <v>47</v>
      </c>
      <c r="B20" s="1">
        <v>1.4999999999999999E-2</v>
      </c>
    </row>
    <row r="21" spans="1:2">
      <c r="A21" t="s">
        <v>48</v>
      </c>
      <c r="B21" s="1">
        <v>1.4999999999999999E-2</v>
      </c>
    </row>
    <row r="22" spans="1:2">
      <c r="A22" t="s">
        <v>49</v>
      </c>
      <c r="B22" s="1">
        <v>1.4999999999999999E-2</v>
      </c>
    </row>
    <row r="23" spans="1:2">
      <c r="A23" t="s">
        <v>50</v>
      </c>
      <c r="B23" s="1">
        <v>0.01</v>
      </c>
    </row>
    <row r="24" spans="1:2">
      <c r="A24" t="s">
        <v>51</v>
      </c>
      <c r="B24" s="1">
        <v>0.01</v>
      </c>
    </row>
    <row r="25" spans="1:2">
      <c r="A25" t="s">
        <v>3</v>
      </c>
      <c r="B25" s="1">
        <v>0.01</v>
      </c>
    </row>
    <row r="26" spans="1:2">
      <c r="A26" t="s">
        <v>52</v>
      </c>
      <c r="B26" s="1">
        <v>1.2E-2</v>
      </c>
    </row>
    <row r="27" spans="1:2">
      <c r="A27" t="s">
        <v>53</v>
      </c>
      <c r="B27" s="1">
        <v>1.2E-2</v>
      </c>
    </row>
    <row r="28" spans="1:2">
      <c r="A28" t="s">
        <v>54</v>
      </c>
      <c r="B28" s="1">
        <v>1.2E-2</v>
      </c>
    </row>
    <row r="29" spans="1:2">
      <c r="A29" t="s">
        <v>55</v>
      </c>
      <c r="B29" s="1">
        <v>0.01</v>
      </c>
    </row>
    <row r="30" spans="1:2">
      <c r="A30" t="s">
        <v>56</v>
      </c>
      <c r="B30" s="1">
        <v>0.01</v>
      </c>
    </row>
    <row r="31" spans="1:2">
      <c r="A31" t="s">
        <v>57</v>
      </c>
      <c r="B31" s="1">
        <v>0.01</v>
      </c>
    </row>
    <row r="32" spans="1:2">
      <c r="A32" t="s">
        <v>58</v>
      </c>
      <c r="B32" s="1">
        <v>1.4E-2</v>
      </c>
    </row>
    <row r="33" spans="1:2">
      <c r="A33" t="s">
        <v>59</v>
      </c>
      <c r="B33" s="1">
        <v>1.4E-2</v>
      </c>
    </row>
    <row r="34" spans="1:2">
      <c r="A34" t="s">
        <v>60</v>
      </c>
      <c r="B34" s="1">
        <v>1.4E-2</v>
      </c>
    </row>
    <row r="35" spans="1:2">
      <c r="A35" t="s">
        <v>61</v>
      </c>
      <c r="B35" s="1">
        <v>1.4999999999999999E-2</v>
      </c>
    </row>
    <row r="36" spans="1:2">
      <c r="A36" t="s">
        <v>62</v>
      </c>
      <c r="B36" s="1">
        <v>1.4999999999999999E-2</v>
      </c>
    </row>
    <row r="37" spans="1:2">
      <c r="A37" t="s">
        <v>63</v>
      </c>
      <c r="B37" s="1">
        <v>1.4999999999999999E-2</v>
      </c>
    </row>
    <row r="38" spans="1:2">
      <c r="A38" t="s">
        <v>64</v>
      </c>
      <c r="B38" s="1">
        <v>1.4999999999999999E-2</v>
      </c>
    </row>
    <row r="39" spans="1:2">
      <c r="A39" t="s">
        <v>65</v>
      </c>
      <c r="B39" s="1">
        <v>1.4999999999999999E-2</v>
      </c>
    </row>
  </sheetData>
  <sheetProtection algorithmName="SHA-512" hashValue="EWd3IIfw8Jnsp7svb85jW+divnX8gv4FvscrQA34GPYeQtdTIRNQI8vvtcdysZKoU76Ma5nXNp8Dr1GBmVCDjQ==" saltValue="B9nz9d8LkDfnTtWMyoWDQg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Simulador_LPG</vt:lpstr>
      <vt:lpstr>Configuracion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2026-08-17T19:39:53Z</dcterms:created>
  <dcterms:modified xsi:type="dcterms:W3CDTF">2026-08-17T22:24:16Z</dcterms:modified>
</cp:coreProperties>
</file>