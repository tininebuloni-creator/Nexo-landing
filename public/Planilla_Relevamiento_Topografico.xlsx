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yectos\topografia\"/>
    </mc:Choice>
  </mc:AlternateContent>
  <bookViews>
    <workbookView xWindow="0" yWindow="0" windowWidth="21570" windowHeight="8055"/>
  </bookViews>
  <sheets>
    <sheet name="Configuración" sheetId="1" r:id="rId1"/>
    <sheet name="ET - Polar (crudo)" sheetId="2" r:id="rId2"/>
    <sheet name="ET - Rectangular (PNEZD)" sheetId="3" r:id="rId3"/>
    <sheet name="Nivel - Altura Instrumento" sheetId="4" r:id="rId4"/>
    <sheet name="Nivel - Diferencias" sheetId="5" r:id="rId5"/>
    <sheet name="Resumen Puntos" sheetId="6" r:id="rId6"/>
  </sheets>
  <definedNames>
    <definedName name="E_base">Configuración!$C$28</definedName>
    <definedName name="hi_ET">Configuración!$B$17</definedName>
    <definedName name="N_base">Configuración!$B$28</definedName>
    <definedName name="Z_base">Configuración!$D$28</definedName>
  </definedNames>
  <calcPr calcId="152511"/>
</workbook>
</file>

<file path=xl/calcChain.xml><?xml version="1.0" encoding="utf-8"?>
<calcChain xmlns="http://schemas.openxmlformats.org/spreadsheetml/2006/main">
  <c r="L4" i="3" l="1"/>
  <c r="L7" i="3"/>
  <c r="F6" i="6"/>
  <c r="J3" i="5"/>
  <c r="I14" i="4"/>
  <c r="D5" i="6"/>
  <c r="C5" i="6"/>
  <c r="G8" i="2" l="1"/>
  <c r="H204" i="6"/>
  <c r="F204" i="6"/>
  <c r="E204" i="6"/>
  <c r="D204" i="6"/>
  <c r="C204" i="6"/>
  <c r="B204" i="6"/>
  <c r="G204" i="6" s="1"/>
  <c r="H203" i="6"/>
  <c r="F203" i="6"/>
  <c r="E203" i="6"/>
  <c r="D203" i="6"/>
  <c r="C203" i="6"/>
  <c r="B203" i="6"/>
  <c r="G203" i="6" s="1"/>
  <c r="H202" i="6"/>
  <c r="F202" i="6"/>
  <c r="E202" i="6"/>
  <c r="D202" i="6"/>
  <c r="C202" i="6"/>
  <c r="B202" i="6"/>
  <c r="G202" i="6" s="1"/>
  <c r="H201" i="6"/>
  <c r="F201" i="6"/>
  <c r="E201" i="6"/>
  <c r="D201" i="6"/>
  <c r="C201" i="6"/>
  <c r="B201" i="6"/>
  <c r="G201" i="6" s="1"/>
  <c r="H200" i="6"/>
  <c r="F200" i="6"/>
  <c r="E200" i="6"/>
  <c r="D200" i="6"/>
  <c r="C200" i="6"/>
  <c r="B200" i="6"/>
  <c r="G200" i="6" s="1"/>
  <c r="H199" i="6"/>
  <c r="F199" i="6"/>
  <c r="E199" i="6"/>
  <c r="D199" i="6"/>
  <c r="C199" i="6"/>
  <c r="B199" i="6"/>
  <c r="G199" i="6" s="1"/>
  <c r="H198" i="6"/>
  <c r="F198" i="6"/>
  <c r="E198" i="6"/>
  <c r="D198" i="6"/>
  <c r="C198" i="6"/>
  <c r="B198" i="6"/>
  <c r="G198" i="6" s="1"/>
  <c r="H197" i="6"/>
  <c r="F197" i="6"/>
  <c r="E197" i="6"/>
  <c r="D197" i="6"/>
  <c r="C197" i="6"/>
  <c r="B197" i="6"/>
  <c r="G197" i="6" s="1"/>
  <c r="H196" i="6"/>
  <c r="F196" i="6"/>
  <c r="E196" i="6"/>
  <c r="D196" i="6"/>
  <c r="C196" i="6"/>
  <c r="B196" i="6"/>
  <c r="G196" i="6" s="1"/>
  <c r="H195" i="6"/>
  <c r="G195" i="6"/>
  <c r="F195" i="6"/>
  <c r="E195" i="6"/>
  <c r="D195" i="6"/>
  <c r="C195" i="6"/>
  <c r="B195" i="6"/>
  <c r="H194" i="6"/>
  <c r="F194" i="6"/>
  <c r="E194" i="6"/>
  <c r="D194" i="6"/>
  <c r="C194" i="6"/>
  <c r="B194" i="6"/>
  <c r="G194" i="6" s="1"/>
  <c r="H193" i="6"/>
  <c r="F193" i="6"/>
  <c r="E193" i="6"/>
  <c r="D193" i="6"/>
  <c r="C193" i="6"/>
  <c r="B193" i="6"/>
  <c r="G193" i="6" s="1"/>
  <c r="H192" i="6"/>
  <c r="F192" i="6"/>
  <c r="E192" i="6"/>
  <c r="D192" i="6"/>
  <c r="C192" i="6"/>
  <c r="B192" i="6"/>
  <c r="G192" i="6" s="1"/>
  <c r="H191" i="6"/>
  <c r="F191" i="6"/>
  <c r="E191" i="6"/>
  <c r="D191" i="6"/>
  <c r="C191" i="6"/>
  <c r="B191" i="6"/>
  <c r="G191" i="6" s="1"/>
  <c r="H190" i="6"/>
  <c r="F190" i="6"/>
  <c r="E190" i="6"/>
  <c r="D190" i="6"/>
  <c r="C190" i="6"/>
  <c r="B190" i="6"/>
  <c r="G190" i="6" s="1"/>
  <c r="H189" i="6"/>
  <c r="F189" i="6"/>
  <c r="E189" i="6"/>
  <c r="D189" i="6"/>
  <c r="C189" i="6"/>
  <c r="B189" i="6"/>
  <c r="G189" i="6" s="1"/>
  <c r="H188" i="6"/>
  <c r="F188" i="6"/>
  <c r="E188" i="6"/>
  <c r="D188" i="6"/>
  <c r="C188" i="6"/>
  <c r="B188" i="6"/>
  <c r="G188" i="6" s="1"/>
  <c r="H187" i="6"/>
  <c r="F187" i="6"/>
  <c r="E187" i="6"/>
  <c r="D187" i="6"/>
  <c r="C187" i="6"/>
  <c r="B187" i="6"/>
  <c r="G187" i="6" s="1"/>
  <c r="H186" i="6"/>
  <c r="F186" i="6"/>
  <c r="E186" i="6"/>
  <c r="D186" i="6"/>
  <c r="C186" i="6"/>
  <c r="B186" i="6"/>
  <c r="G186" i="6" s="1"/>
  <c r="H185" i="6"/>
  <c r="F185" i="6"/>
  <c r="E185" i="6"/>
  <c r="D185" i="6"/>
  <c r="C185" i="6"/>
  <c r="B185" i="6"/>
  <c r="G185" i="6" s="1"/>
  <c r="H184" i="6"/>
  <c r="F184" i="6"/>
  <c r="E184" i="6"/>
  <c r="D184" i="6"/>
  <c r="C184" i="6"/>
  <c r="B184" i="6"/>
  <c r="G184" i="6" s="1"/>
  <c r="H183" i="6"/>
  <c r="F183" i="6"/>
  <c r="E183" i="6"/>
  <c r="D183" i="6"/>
  <c r="C183" i="6"/>
  <c r="B183" i="6"/>
  <c r="G183" i="6" s="1"/>
  <c r="H182" i="6"/>
  <c r="F182" i="6"/>
  <c r="E182" i="6"/>
  <c r="D182" i="6"/>
  <c r="C182" i="6"/>
  <c r="B182" i="6"/>
  <c r="G182" i="6" s="1"/>
  <c r="H181" i="6"/>
  <c r="F181" i="6"/>
  <c r="E181" i="6"/>
  <c r="D181" i="6"/>
  <c r="C181" i="6"/>
  <c r="B181" i="6"/>
  <c r="G181" i="6" s="1"/>
  <c r="H180" i="6"/>
  <c r="F180" i="6"/>
  <c r="E180" i="6"/>
  <c r="D180" i="6"/>
  <c r="C180" i="6"/>
  <c r="B180" i="6"/>
  <c r="G180" i="6" s="1"/>
  <c r="H179" i="6"/>
  <c r="F179" i="6"/>
  <c r="E179" i="6"/>
  <c r="D179" i="6"/>
  <c r="C179" i="6"/>
  <c r="B179" i="6"/>
  <c r="G179" i="6" s="1"/>
  <c r="H178" i="6"/>
  <c r="F178" i="6"/>
  <c r="E178" i="6"/>
  <c r="D178" i="6"/>
  <c r="C178" i="6"/>
  <c r="B178" i="6"/>
  <c r="G178" i="6" s="1"/>
  <c r="H177" i="6"/>
  <c r="F177" i="6"/>
  <c r="E177" i="6"/>
  <c r="D177" i="6"/>
  <c r="C177" i="6"/>
  <c r="B177" i="6"/>
  <c r="G177" i="6" s="1"/>
  <c r="H176" i="6"/>
  <c r="F176" i="6"/>
  <c r="E176" i="6"/>
  <c r="D176" i="6"/>
  <c r="C176" i="6"/>
  <c r="B176" i="6"/>
  <c r="G176" i="6" s="1"/>
  <c r="H175" i="6"/>
  <c r="F175" i="6"/>
  <c r="E175" i="6"/>
  <c r="D175" i="6"/>
  <c r="C175" i="6"/>
  <c r="B175" i="6"/>
  <c r="G175" i="6" s="1"/>
  <c r="H174" i="6"/>
  <c r="F174" i="6"/>
  <c r="E174" i="6"/>
  <c r="D174" i="6"/>
  <c r="C174" i="6"/>
  <c r="B174" i="6"/>
  <c r="G174" i="6" s="1"/>
  <c r="H173" i="6"/>
  <c r="F173" i="6"/>
  <c r="E173" i="6"/>
  <c r="D173" i="6"/>
  <c r="C173" i="6"/>
  <c r="B173" i="6"/>
  <c r="G173" i="6" s="1"/>
  <c r="H172" i="6"/>
  <c r="F172" i="6"/>
  <c r="E172" i="6"/>
  <c r="D172" i="6"/>
  <c r="C172" i="6"/>
  <c r="B172" i="6"/>
  <c r="G172" i="6" s="1"/>
  <c r="H171" i="6"/>
  <c r="F171" i="6"/>
  <c r="E171" i="6"/>
  <c r="D171" i="6"/>
  <c r="C171" i="6"/>
  <c r="B171" i="6"/>
  <c r="G171" i="6" s="1"/>
  <c r="H170" i="6"/>
  <c r="F170" i="6"/>
  <c r="E170" i="6"/>
  <c r="D170" i="6"/>
  <c r="C170" i="6"/>
  <c r="B170" i="6"/>
  <c r="G170" i="6" s="1"/>
  <c r="H169" i="6"/>
  <c r="F169" i="6"/>
  <c r="E169" i="6"/>
  <c r="D169" i="6"/>
  <c r="C169" i="6"/>
  <c r="B169" i="6"/>
  <c r="G169" i="6" s="1"/>
  <c r="H168" i="6"/>
  <c r="F168" i="6"/>
  <c r="E168" i="6"/>
  <c r="D168" i="6"/>
  <c r="C168" i="6"/>
  <c r="B168" i="6"/>
  <c r="G168" i="6" s="1"/>
  <c r="H167" i="6"/>
  <c r="F167" i="6"/>
  <c r="E167" i="6"/>
  <c r="D167" i="6"/>
  <c r="C167" i="6"/>
  <c r="B167" i="6"/>
  <c r="G167" i="6" s="1"/>
  <c r="H166" i="6"/>
  <c r="F166" i="6"/>
  <c r="E166" i="6"/>
  <c r="D166" i="6"/>
  <c r="C166" i="6"/>
  <c r="B166" i="6"/>
  <c r="G166" i="6" s="1"/>
  <c r="H165" i="6"/>
  <c r="F165" i="6"/>
  <c r="E165" i="6"/>
  <c r="D165" i="6"/>
  <c r="C165" i="6"/>
  <c r="B165" i="6"/>
  <c r="G165" i="6" s="1"/>
  <c r="H164" i="6"/>
  <c r="F164" i="6"/>
  <c r="E164" i="6"/>
  <c r="D164" i="6"/>
  <c r="C164" i="6"/>
  <c r="B164" i="6"/>
  <c r="G164" i="6" s="1"/>
  <c r="H163" i="6"/>
  <c r="F163" i="6"/>
  <c r="E163" i="6"/>
  <c r="D163" i="6"/>
  <c r="C163" i="6"/>
  <c r="B163" i="6"/>
  <c r="G163" i="6" s="1"/>
  <c r="H162" i="6"/>
  <c r="F162" i="6"/>
  <c r="E162" i="6"/>
  <c r="D162" i="6"/>
  <c r="C162" i="6"/>
  <c r="B162" i="6"/>
  <c r="G162" i="6" s="1"/>
  <c r="H161" i="6"/>
  <c r="F161" i="6"/>
  <c r="E161" i="6"/>
  <c r="D161" i="6"/>
  <c r="C161" i="6"/>
  <c r="B161" i="6"/>
  <c r="G161" i="6" s="1"/>
  <c r="H160" i="6"/>
  <c r="F160" i="6"/>
  <c r="E160" i="6"/>
  <c r="D160" i="6"/>
  <c r="C160" i="6"/>
  <c r="B160" i="6"/>
  <c r="G160" i="6" s="1"/>
  <c r="H159" i="6"/>
  <c r="F159" i="6"/>
  <c r="E159" i="6"/>
  <c r="D159" i="6"/>
  <c r="C159" i="6"/>
  <c r="B159" i="6"/>
  <c r="G159" i="6" s="1"/>
  <c r="H158" i="6"/>
  <c r="F158" i="6"/>
  <c r="E158" i="6"/>
  <c r="D158" i="6"/>
  <c r="C158" i="6"/>
  <c r="B158" i="6"/>
  <c r="G158" i="6" s="1"/>
  <c r="H157" i="6"/>
  <c r="F157" i="6"/>
  <c r="E157" i="6"/>
  <c r="D157" i="6"/>
  <c r="C157" i="6"/>
  <c r="B157" i="6"/>
  <c r="G157" i="6" s="1"/>
  <c r="H156" i="6"/>
  <c r="F156" i="6"/>
  <c r="E156" i="6"/>
  <c r="D156" i="6"/>
  <c r="C156" i="6"/>
  <c r="B156" i="6"/>
  <c r="G156" i="6" s="1"/>
  <c r="H155" i="6"/>
  <c r="F155" i="6"/>
  <c r="E155" i="6"/>
  <c r="D155" i="6"/>
  <c r="C155" i="6"/>
  <c r="B155" i="6"/>
  <c r="G155" i="6" s="1"/>
  <c r="H154" i="6"/>
  <c r="F154" i="6"/>
  <c r="E154" i="6"/>
  <c r="D154" i="6"/>
  <c r="C154" i="6"/>
  <c r="B154" i="6"/>
  <c r="G154" i="6" s="1"/>
  <c r="H153" i="6"/>
  <c r="F153" i="6"/>
  <c r="E153" i="6"/>
  <c r="D153" i="6"/>
  <c r="C153" i="6"/>
  <c r="B153" i="6"/>
  <c r="G153" i="6" s="1"/>
  <c r="H152" i="6"/>
  <c r="F152" i="6"/>
  <c r="E152" i="6"/>
  <c r="D152" i="6"/>
  <c r="C152" i="6"/>
  <c r="B152" i="6"/>
  <c r="G152" i="6" s="1"/>
  <c r="H151" i="6"/>
  <c r="F151" i="6"/>
  <c r="E151" i="6"/>
  <c r="D151" i="6"/>
  <c r="C151" i="6"/>
  <c r="B151" i="6"/>
  <c r="G151" i="6" s="1"/>
  <c r="H150" i="6"/>
  <c r="F150" i="6"/>
  <c r="E150" i="6"/>
  <c r="D150" i="6"/>
  <c r="C150" i="6"/>
  <c r="B150" i="6"/>
  <c r="G150" i="6" s="1"/>
  <c r="H149" i="6"/>
  <c r="F149" i="6"/>
  <c r="E149" i="6"/>
  <c r="D149" i="6"/>
  <c r="C149" i="6"/>
  <c r="B149" i="6"/>
  <c r="G149" i="6" s="1"/>
  <c r="H148" i="6"/>
  <c r="F148" i="6"/>
  <c r="E148" i="6"/>
  <c r="D148" i="6"/>
  <c r="C148" i="6"/>
  <c r="B148" i="6"/>
  <c r="G148" i="6" s="1"/>
  <c r="H147" i="6"/>
  <c r="F147" i="6"/>
  <c r="E147" i="6"/>
  <c r="D147" i="6"/>
  <c r="C147" i="6"/>
  <c r="B147" i="6"/>
  <c r="G147" i="6" s="1"/>
  <c r="H146" i="6"/>
  <c r="F146" i="6"/>
  <c r="E146" i="6"/>
  <c r="D146" i="6"/>
  <c r="C146" i="6"/>
  <c r="B146" i="6"/>
  <c r="G146" i="6" s="1"/>
  <c r="H145" i="6"/>
  <c r="G145" i="6"/>
  <c r="F145" i="6"/>
  <c r="E145" i="6"/>
  <c r="D145" i="6"/>
  <c r="C145" i="6"/>
  <c r="B145" i="6"/>
  <c r="H144" i="6"/>
  <c r="F144" i="6"/>
  <c r="E144" i="6"/>
  <c r="D144" i="6"/>
  <c r="C144" i="6"/>
  <c r="B144" i="6"/>
  <c r="G144" i="6" s="1"/>
  <c r="H143" i="6"/>
  <c r="F143" i="6"/>
  <c r="E143" i="6"/>
  <c r="D143" i="6"/>
  <c r="C143" i="6"/>
  <c r="B143" i="6"/>
  <c r="G143" i="6" s="1"/>
  <c r="H142" i="6"/>
  <c r="F142" i="6"/>
  <c r="E142" i="6"/>
  <c r="D142" i="6"/>
  <c r="C142" i="6"/>
  <c r="B142" i="6"/>
  <c r="G142" i="6" s="1"/>
  <c r="H141" i="6"/>
  <c r="F141" i="6"/>
  <c r="E141" i="6"/>
  <c r="D141" i="6"/>
  <c r="C141" i="6"/>
  <c r="B141" i="6"/>
  <c r="G141" i="6" s="1"/>
  <c r="H140" i="6"/>
  <c r="F140" i="6"/>
  <c r="E140" i="6"/>
  <c r="D140" i="6"/>
  <c r="C140" i="6"/>
  <c r="B140" i="6"/>
  <c r="G140" i="6" s="1"/>
  <c r="H139" i="6"/>
  <c r="F139" i="6"/>
  <c r="E139" i="6"/>
  <c r="D139" i="6"/>
  <c r="C139" i="6"/>
  <c r="B139" i="6"/>
  <c r="G139" i="6" s="1"/>
  <c r="H138" i="6"/>
  <c r="F138" i="6"/>
  <c r="E138" i="6"/>
  <c r="D138" i="6"/>
  <c r="C138" i="6"/>
  <c r="B138" i="6"/>
  <c r="G138" i="6" s="1"/>
  <c r="H137" i="6"/>
  <c r="F137" i="6"/>
  <c r="E137" i="6"/>
  <c r="D137" i="6"/>
  <c r="C137" i="6"/>
  <c r="B137" i="6"/>
  <c r="G137" i="6" s="1"/>
  <c r="H136" i="6"/>
  <c r="F136" i="6"/>
  <c r="E136" i="6"/>
  <c r="D136" i="6"/>
  <c r="C136" i="6"/>
  <c r="B136" i="6"/>
  <c r="G136" i="6" s="1"/>
  <c r="H135" i="6"/>
  <c r="F135" i="6"/>
  <c r="E135" i="6"/>
  <c r="D135" i="6"/>
  <c r="C135" i="6"/>
  <c r="B135" i="6"/>
  <c r="G135" i="6" s="1"/>
  <c r="H134" i="6"/>
  <c r="F134" i="6"/>
  <c r="E134" i="6"/>
  <c r="D134" i="6"/>
  <c r="C134" i="6"/>
  <c r="B134" i="6"/>
  <c r="G134" i="6" s="1"/>
  <c r="H133" i="6"/>
  <c r="F133" i="6"/>
  <c r="E133" i="6"/>
  <c r="D133" i="6"/>
  <c r="C133" i="6"/>
  <c r="B133" i="6"/>
  <c r="G133" i="6" s="1"/>
  <c r="H132" i="6"/>
  <c r="F132" i="6"/>
  <c r="E132" i="6"/>
  <c r="D132" i="6"/>
  <c r="C132" i="6"/>
  <c r="B132" i="6"/>
  <c r="G132" i="6" s="1"/>
  <c r="H131" i="6"/>
  <c r="F131" i="6"/>
  <c r="E131" i="6"/>
  <c r="D131" i="6"/>
  <c r="C131" i="6"/>
  <c r="B131" i="6"/>
  <c r="G131" i="6" s="1"/>
  <c r="H130" i="6"/>
  <c r="F130" i="6"/>
  <c r="E130" i="6"/>
  <c r="D130" i="6"/>
  <c r="C130" i="6"/>
  <c r="B130" i="6"/>
  <c r="G130" i="6" s="1"/>
  <c r="H129" i="6"/>
  <c r="F129" i="6"/>
  <c r="E129" i="6"/>
  <c r="D129" i="6"/>
  <c r="C129" i="6"/>
  <c r="B129" i="6"/>
  <c r="G129" i="6" s="1"/>
  <c r="H128" i="6"/>
  <c r="F128" i="6"/>
  <c r="E128" i="6"/>
  <c r="D128" i="6"/>
  <c r="C128" i="6"/>
  <c r="B128" i="6"/>
  <c r="G128" i="6" s="1"/>
  <c r="H127" i="6"/>
  <c r="F127" i="6"/>
  <c r="E127" i="6"/>
  <c r="D127" i="6"/>
  <c r="C127" i="6"/>
  <c r="B127" i="6"/>
  <c r="G127" i="6" s="1"/>
  <c r="H126" i="6"/>
  <c r="F126" i="6"/>
  <c r="E126" i="6"/>
  <c r="D126" i="6"/>
  <c r="C126" i="6"/>
  <c r="B126" i="6"/>
  <c r="G126" i="6" s="1"/>
  <c r="H125" i="6"/>
  <c r="F125" i="6"/>
  <c r="E125" i="6"/>
  <c r="D125" i="6"/>
  <c r="C125" i="6"/>
  <c r="B125" i="6"/>
  <c r="G125" i="6" s="1"/>
  <c r="H124" i="6"/>
  <c r="F124" i="6"/>
  <c r="E124" i="6"/>
  <c r="D124" i="6"/>
  <c r="C124" i="6"/>
  <c r="B124" i="6"/>
  <c r="G124" i="6" s="1"/>
  <c r="H123" i="6"/>
  <c r="F123" i="6"/>
  <c r="E123" i="6"/>
  <c r="D123" i="6"/>
  <c r="C123" i="6"/>
  <c r="B123" i="6"/>
  <c r="G123" i="6" s="1"/>
  <c r="H122" i="6"/>
  <c r="F122" i="6"/>
  <c r="E122" i="6"/>
  <c r="D122" i="6"/>
  <c r="C122" i="6"/>
  <c r="B122" i="6"/>
  <c r="G122" i="6" s="1"/>
  <c r="H121" i="6"/>
  <c r="F121" i="6"/>
  <c r="E121" i="6"/>
  <c r="D121" i="6"/>
  <c r="C121" i="6"/>
  <c r="B121" i="6"/>
  <c r="G121" i="6" s="1"/>
  <c r="H120" i="6"/>
  <c r="F120" i="6"/>
  <c r="E120" i="6"/>
  <c r="D120" i="6"/>
  <c r="C120" i="6"/>
  <c r="B120" i="6"/>
  <c r="G120" i="6" s="1"/>
  <c r="H119" i="6"/>
  <c r="F119" i="6"/>
  <c r="E119" i="6"/>
  <c r="D119" i="6"/>
  <c r="C119" i="6"/>
  <c r="B119" i="6"/>
  <c r="G119" i="6" s="1"/>
  <c r="H118" i="6"/>
  <c r="F118" i="6"/>
  <c r="E118" i="6"/>
  <c r="D118" i="6"/>
  <c r="C118" i="6"/>
  <c r="B118" i="6"/>
  <c r="G118" i="6" s="1"/>
  <c r="H117" i="6"/>
  <c r="F117" i="6"/>
  <c r="E117" i="6"/>
  <c r="D117" i="6"/>
  <c r="C117" i="6"/>
  <c r="B117" i="6"/>
  <c r="G117" i="6" s="1"/>
  <c r="H116" i="6"/>
  <c r="F116" i="6"/>
  <c r="E116" i="6"/>
  <c r="D116" i="6"/>
  <c r="C116" i="6"/>
  <c r="B116" i="6"/>
  <c r="G116" i="6" s="1"/>
  <c r="H115" i="6"/>
  <c r="F115" i="6"/>
  <c r="E115" i="6"/>
  <c r="D115" i="6"/>
  <c r="C115" i="6"/>
  <c r="B115" i="6"/>
  <c r="G115" i="6" s="1"/>
  <c r="H114" i="6"/>
  <c r="F114" i="6"/>
  <c r="E114" i="6"/>
  <c r="D114" i="6"/>
  <c r="C114" i="6"/>
  <c r="B114" i="6"/>
  <c r="G114" i="6" s="1"/>
  <c r="H113" i="6"/>
  <c r="F113" i="6"/>
  <c r="E113" i="6"/>
  <c r="D113" i="6"/>
  <c r="C113" i="6"/>
  <c r="B113" i="6"/>
  <c r="G113" i="6" s="1"/>
  <c r="H112" i="6"/>
  <c r="F112" i="6"/>
  <c r="E112" i="6"/>
  <c r="D112" i="6"/>
  <c r="C112" i="6"/>
  <c r="B112" i="6"/>
  <c r="G112" i="6" s="1"/>
  <c r="H111" i="6"/>
  <c r="F111" i="6"/>
  <c r="E111" i="6"/>
  <c r="D111" i="6"/>
  <c r="C111" i="6"/>
  <c r="B111" i="6"/>
  <c r="G111" i="6" s="1"/>
  <c r="H110" i="6"/>
  <c r="F110" i="6"/>
  <c r="E110" i="6"/>
  <c r="D110" i="6"/>
  <c r="C110" i="6"/>
  <c r="B110" i="6"/>
  <c r="G110" i="6" s="1"/>
  <c r="H109" i="6"/>
  <c r="F109" i="6"/>
  <c r="E109" i="6"/>
  <c r="D109" i="6"/>
  <c r="C109" i="6"/>
  <c r="B109" i="6"/>
  <c r="G109" i="6" s="1"/>
  <c r="H108" i="6"/>
  <c r="F108" i="6"/>
  <c r="E108" i="6"/>
  <c r="D108" i="6"/>
  <c r="C108" i="6"/>
  <c r="B108" i="6"/>
  <c r="G108" i="6" s="1"/>
  <c r="H107" i="6"/>
  <c r="F107" i="6"/>
  <c r="E107" i="6"/>
  <c r="D107" i="6"/>
  <c r="C107" i="6"/>
  <c r="B107" i="6"/>
  <c r="G107" i="6" s="1"/>
  <c r="H106" i="6"/>
  <c r="F106" i="6"/>
  <c r="E106" i="6"/>
  <c r="D106" i="6"/>
  <c r="C106" i="6"/>
  <c r="B106" i="6"/>
  <c r="G106" i="6" s="1"/>
  <c r="H105" i="6"/>
  <c r="F105" i="6"/>
  <c r="E105" i="6"/>
  <c r="D105" i="6"/>
  <c r="C105" i="6"/>
  <c r="B105" i="6"/>
  <c r="G105" i="6" s="1"/>
  <c r="H104" i="6"/>
  <c r="F104" i="6"/>
  <c r="E104" i="6"/>
  <c r="D104" i="6"/>
  <c r="C104" i="6"/>
  <c r="B104" i="6"/>
  <c r="G104" i="6" s="1"/>
  <c r="H103" i="6"/>
  <c r="F103" i="6"/>
  <c r="E103" i="6"/>
  <c r="D103" i="6"/>
  <c r="C103" i="6"/>
  <c r="B103" i="6"/>
  <c r="G103" i="6" s="1"/>
  <c r="H102" i="6"/>
  <c r="F102" i="6"/>
  <c r="E102" i="6"/>
  <c r="D102" i="6"/>
  <c r="C102" i="6"/>
  <c r="B102" i="6"/>
  <c r="G102" i="6" s="1"/>
  <c r="H101" i="6"/>
  <c r="F101" i="6"/>
  <c r="E101" i="6"/>
  <c r="D101" i="6"/>
  <c r="C101" i="6"/>
  <c r="B101" i="6"/>
  <c r="G101" i="6" s="1"/>
  <c r="H100" i="6"/>
  <c r="F100" i="6"/>
  <c r="E100" i="6"/>
  <c r="D100" i="6"/>
  <c r="C100" i="6"/>
  <c r="B100" i="6"/>
  <c r="G100" i="6" s="1"/>
  <c r="H99" i="6"/>
  <c r="F99" i="6"/>
  <c r="E99" i="6"/>
  <c r="D99" i="6"/>
  <c r="C99" i="6"/>
  <c r="B99" i="6"/>
  <c r="G99" i="6" s="1"/>
  <c r="H98" i="6"/>
  <c r="F98" i="6"/>
  <c r="E98" i="6"/>
  <c r="D98" i="6"/>
  <c r="C98" i="6"/>
  <c r="B98" i="6"/>
  <c r="G98" i="6" s="1"/>
  <c r="H97" i="6"/>
  <c r="F97" i="6"/>
  <c r="E97" i="6"/>
  <c r="D97" i="6"/>
  <c r="C97" i="6"/>
  <c r="B97" i="6"/>
  <c r="G97" i="6" s="1"/>
  <c r="H96" i="6"/>
  <c r="F96" i="6"/>
  <c r="E96" i="6"/>
  <c r="D96" i="6"/>
  <c r="C96" i="6"/>
  <c r="B96" i="6"/>
  <c r="G96" i="6" s="1"/>
  <c r="H95" i="6"/>
  <c r="F95" i="6"/>
  <c r="E95" i="6"/>
  <c r="D95" i="6"/>
  <c r="C95" i="6"/>
  <c r="B95" i="6"/>
  <c r="G95" i="6" s="1"/>
  <c r="H94" i="6"/>
  <c r="F94" i="6"/>
  <c r="E94" i="6"/>
  <c r="D94" i="6"/>
  <c r="C94" i="6"/>
  <c r="B94" i="6"/>
  <c r="G94" i="6" s="1"/>
  <c r="H93" i="6"/>
  <c r="F93" i="6"/>
  <c r="E93" i="6"/>
  <c r="D93" i="6"/>
  <c r="C93" i="6"/>
  <c r="B93" i="6"/>
  <c r="G93" i="6" s="1"/>
  <c r="H92" i="6"/>
  <c r="F92" i="6"/>
  <c r="E92" i="6"/>
  <c r="D92" i="6"/>
  <c r="C92" i="6"/>
  <c r="B92" i="6"/>
  <c r="G92" i="6" s="1"/>
  <c r="H91" i="6"/>
  <c r="F91" i="6"/>
  <c r="E91" i="6"/>
  <c r="D91" i="6"/>
  <c r="C91" i="6"/>
  <c r="B91" i="6"/>
  <c r="G91" i="6" s="1"/>
  <c r="H90" i="6"/>
  <c r="F90" i="6"/>
  <c r="E90" i="6"/>
  <c r="D90" i="6"/>
  <c r="C90" i="6"/>
  <c r="B90" i="6"/>
  <c r="G90" i="6" s="1"/>
  <c r="H89" i="6"/>
  <c r="F89" i="6"/>
  <c r="E89" i="6"/>
  <c r="D89" i="6"/>
  <c r="C89" i="6"/>
  <c r="B89" i="6"/>
  <c r="G89" i="6" s="1"/>
  <c r="H88" i="6"/>
  <c r="F88" i="6"/>
  <c r="E88" i="6"/>
  <c r="D88" i="6"/>
  <c r="C88" i="6"/>
  <c r="B88" i="6"/>
  <c r="G88" i="6" s="1"/>
  <c r="H87" i="6"/>
  <c r="F87" i="6"/>
  <c r="E87" i="6"/>
  <c r="D87" i="6"/>
  <c r="C87" i="6"/>
  <c r="B87" i="6"/>
  <c r="G87" i="6" s="1"/>
  <c r="H86" i="6"/>
  <c r="F86" i="6"/>
  <c r="E86" i="6"/>
  <c r="D86" i="6"/>
  <c r="C86" i="6"/>
  <c r="B86" i="6"/>
  <c r="G86" i="6" s="1"/>
  <c r="H85" i="6"/>
  <c r="F85" i="6"/>
  <c r="E85" i="6"/>
  <c r="D85" i="6"/>
  <c r="C85" i="6"/>
  <c r="B85" i="6"/>
  <c r="G85" i="6" s="1"/>
  <c r="H84" i="6"/>
  <c r="F84" i="6"/>
  <c r="E84" i="6"/>
  <c r="D84" i="6"/>
  <c r="C84" i="6"/>
  <c r="B84" i="6"/>
  <c r="G84" i="6" s="1"/>
  <c r="H83" i="6"/>
  <c r="F83" i="6"/>
  <c r="E83" i="6"/>
  <c r="D83" i="6"/>
  <c r="C83" i="6"/>
  <c r="B83" i="6"/>
  <c r="G83" i="6" s="1"/>
  <c r="H82" i="6"/>
  <c r="F82" i="6"/>
  <c r="E82" i="6"/>
  <c r="D82" i="6"/>
  <c r="C82" i="6"/>
  <c r="B82" i="6"/>
  <c r="G82" i="6" s="1"/>
  <c r="H81" i="6"/>
  <c r="F81" i="6"/>
  <c r="E81" i="6"/>
  <c r="D81" i="6"/>
  <c r="C81" i="6"/>
  <c r="B81" i="6"/>
  <c r="G81" i="6" s="1"/>
  <c r="H80" i="6"/>
  <c r="F80" i="6"/>
  <c r="E80" i="6"/>
  <c r="D80" i="6"/>
  <c r="C80" i="6"/>
  <c r="B80" i="6"/>
  <c r="G80" i="6" s="1"/>
  <c r="H79" i="6"/>
  <c r="F79" i="6"/>
  <c r="E79" i="6"/>
  <c r="D79" i="6"/>
  <c r="C79" i="6"/>
  <c r="B79" i="6"/>
  <c r="G79" i="6" s="1"/>
  <c r="H78" i="6"/>
  <c r="F78" i="6"/>
  <c r="E78" i="6"/>
  <c r="D78" i="6"/>
  <c r="C78" i="6"/>
  <c r="B78" i="6"/>
  <c r="G78" i="6" s="1"/>
  <c r="H77" i="6"/>
  <c r="F77" i="6"/>
  <c r="E77" i="6"/>
  <c r="D77" i="6"/>
  <c r="C77" i="6"/>
  <c r="B77" i="6"/>
  <c r="G77" i="6" s="1"/>
  <c r="H76" i="6"/>
  <c r="F76" i="6"/>
  <c r="E76" i="6"/>
  <c r="D76" i="6"/>
  <c r="C76" i="6"/>
  <c r="B76" i="6"/>
  <c r="G76" i="6" s="1"/>
  <c r="H75" i="6"/>
  <c r="F75" i="6"/>
  <c r="E75" i="6"/>
  <c r="D75" i="6"/>
  <c r="C75" i="6"/>
  <c r="B75" i="6"/>
  <c r="G75" i="6" s="1"/>
  <c r="H74" i="6"/>
  <c r="F74" i="6"/>
  <c r="E74" i="6"/>
  <c r="D74" i="6"/>
  <c r="C74" i="6"/>
  <c r="B74" i="6"/>
  <c r="G74" i="6" s="1"/>
  <c r="H73" i="6"/>
  <c r="F73" i="6"/>
  <c r="E73" i="6"/>
  <c r="D73" i="6"/>
  <c r="C73" i="6"/>
  <c r="B73" i="6"/>
  <c r="G73" i="6" s="1"/>
  <c r="H72" i="6"/>
  <c r="F72" i="6"/>
  <c r="E72" i="6"/>
  <c r="D72" i="6"/>
  <c r="C72" i="6"/>
  <c r="B72" i="6"/>
  <c r="G72" i="6" s="1"/>
  <c r="H71" i="6"/>
  <c r="F71" i="6"/>
  <c r="E71" i="6"/>
  <c r="D71" i="6"/>
  <c r="C71" i="6"/>
  <c r="B71" i="6"/>
  <c r="G71" i="6" s="1"/>
  <c r="H70" i="6"/>
  <c r="F70" i="6"/>
  <c r="E70" i="6"/>
  <c r="D70" i="6"/>
  <c r="C70" i="6"/>
  <c r="B70" i="6"/>
  <c r="G70" i="6" s="1"/>
  <c r="H69" i="6"/>
  <c r="F69" i="6"/>
  <c r="E69" i="6"/>
  <c r="D69" i="6"/>
  <c r="C69" i="6"/>
  <c r="B69" i="6"/>
  <c r="G69" i="6" s="1"/>
  <c r="H68" i="6"/>
  <c r="F68" i="6"/>
  <c r="E68" i="6"/>
  <c r="D68" i="6"/>
  <c r="C68" i="6"/>
  <c r="B68" i="6"/>
  <c r="G68" i="6" s="1"/>
  <c r="H67" i="6"/>
  <c r="F67" i="6"/>
  <c r="E67" i="6"/>
  <c r="D67" i="6"/>
  <c r="C67" i="6"/>
  <c r="B67" i="6"/>
  <c r="G67" i="6" s="1"/>
  <c r="H66" i="6"/>
  <c r="F66" i="6"/>
  <c r="E66" i="6"/>
  <c r="D66" i="6"/>
  <c r="C66" i="6"/>
  <c r="B66" i="6"/>
  <c r="G66" i="6" s="1"/>
  <c r="H65" i="6"/>
  <c r="F65" i="6"/>
  <c r="E65" i="6"/>
  <c r="D65" i="6"/>
  <c r="C65" i="6"/>
  <c r="B65" i="6"/>
  <c r="G65" i="6" s="1"/>
  <c r="H64" i="6"/>
  <c r="F64" i="6"/>
  <c r="E64" i="6"/>
  <c r="D64" i="6"/>
  <c r="C64" i="6"/>
  <c r="B64" i="6"/>
  <c r="G64" i="6" s="1"/>
  <c r="H63" i="6"/>
  <c r="F63" i="6"/>
  <c r="E63" i="6"/>
  <c r="D63" i="6"/>
  <c r="C63" i="6"/>
  <c r="B63" i="6"/>
  <c r="G63" i="6" s="1"/>
  <c r="H62" i="6"/>
  <c r="F62" i="6"/>
  <c r="E62" i="6"/>
  <c r="D62" i="6"/>
  <c r="C62" i="6"/>
  <c r="B62" i="6"/>
  <c r="G62" i="6" s="1"/>
  <c r="H61" i="6"/>
  <c r="F61" i="6"/>
  <c r="E61" i="6"/>
  <c r="D61" i="6"/>
  <c r="C61" i="6"/>
  <c r="B61" i="6"/>
  <c r="G61" i="6" s="1"/>
  <c r="H60" i="6"/>
  <c r="F60" i="6"/>
  <c r="E60" i="6"/>
  <c r="D60" i="6"/>
  <c r="C60" i="6"/>
  <c r="B60" i="6"/>
  <c r="G60" i="6" s="1"/>
  <c r="H59" i="6"/>
  <c r="F59" i="6"/>
  <c r="E59" i="6"/>
  <c r="D59" i="6"/>
  <c r="C59" i="6"/>
  <c r="B59" i="6"/>
  <c r="G59" i="6" s="1"/>
  <c r="H58" i="6"/>
  <c r="F58" i="6"/>
  <c r="E58" i="6"/>
  <c r="D58" i="6"/>
  <c r="C58" i="6"/>
  <c r="B58" i="6"/>
  <c r="G58" i="6" s="1"/>
  <c r="H57" i="6"/>
  <c r="F57" i="6"/>
  <c r="E57" i="6"/>
  <c r="D57" i="6"/>
  <c r="C57" i="6"/>
  <c r="B57" i="6"/>
  <c r="G57" i="6" s="1"/>
  <c r="H56" i="6"/>
  <c r="F56" i="6"/>
  <c r="E56" i="6"/>
  <c r="D56" i="6"/>
  <c r="C56" i="6"/>
  <c r="B56" i="6"/>
  <c r="G56" i="6" s="1"/>
  <c r="H55" i="6"/>
  <c r="F55" i="6"/>
  <c r="E55" i="6"/>
  <c r="D55" i="6"/>
  <c r="C55" i="6"/>
  <c r="B55" i="6"/>
  <c r="G55" i="6" s="1"/>
  <c r="H54" i="6"/>
  <c r="F54" i="6"/>
  <c r="E54" i="6"/>
  <c r="D54" i="6"/>
  <c r="C54" i="6"/>
  <c r="B54" i="6"/>
  <c r="G54" i="6" s="1"/>
  <c r="H53" i="6"/>
  <c r="F53" i="6"/>
  <c r="E53" i="6"/>
  <c r="D53" i="6"/>
  <c r="C53" i="6"/>
  <c r="B53" i="6"/>
  <c r="G53" i="6" s="1"/>
  <c r="H52" i="6"/>
  <c r="F52" i="6"/>
  <c r="E52" i="6"/>
  <c r="D52" i="6"/>
  <c r="C52" i="6"/>
  <c r="B52" i="6"/>
  <c r="G52" i="6" s="1"/>
  <c r="H51" i="6"/>
  <c r="F51" i="6"/>
  <c r="E51" i="6"/>
  <c r="D51" i="6"/>
  <c r="C51" i="6"/>
  <c r="B51" i="6"/>
  <c r="G51" i="6" s="1"/>
  <c r="H50" i="6"/>
  <c r="F50" i="6"/>
  <c r="E50" i="6"/>
  <c r="D50" i="6"/>
  <c r="C50" i="6"/>
  <c r="B50" i="6"/>
  <c r="G50" i="6" s="1"/>
  <c r="H49" i="6"/>
  <c r="F49" i="6"/>
  <c r="E49" i="6"/>
  <c r="D49" i="6"/>
  <c r="C49" i="6"/>
  <c r="B49" i="6"/>
  <c r="G49" i="6" s="1"/>
  <c r="H48" i="6"/>
  <c r="F48" i="6"/>
  <c r="E48" i="6"/>
  <c r="D48" i="6"/>
  <c r="C48" i="6"/>
  <c r="B48" i="6"/>
  <c r="G48" i="6" s="1"/>
  <c r="H47" i="6"/>
  <c r="F47" i="6"/>
  <c r="E47" i="6"/>
  <c r="D47" i="6"/>
  <c r="C47" i="6"/>
  <c r="B47" i="6"/>
  <c r="G47" i="6" s="1"/>
  <c r="H46" i="6"/>
  <c r="F46" i="6"/>
  <c r="E46" i="6"/>
  <c r="D46" i="6"/>
  <c r="C46" i="6"/>
  <c r="B46" i="6"/>
  <c r="G46" i="6" s="1"/>
  <c r="H45" i="6"/>
  <c r="F45" i="6"/>
  <c r="E45" i="6"/>
  <c r="D45" i="6"/>
  <c r="C45" i="6"/>
  <c r="B45" i="6"/>
  <c r="G45" i="6" s="1"/>
  <c r="H44" i="6"/>
  <c r="F44" i="6"/>
  <c r="E44" i="6"/>
  <c r="D44" i="6"/>
  <c r="C44" i="6"/>
  <c r="B44" i="6"/>
  <c r="G44" i="6" s="1"/>
  <c r="H43" i="6"/>
  <c r="F43" i="6"/>
  <c r="E43" i="6"/>
  <c r="D43" i="6"/>
  <c r="C43" i="6"/>
  <c r="B43" i="6"/>
  <c r="G43" i="6" s="1"/>
  <c r="H42" i="6"/>
  <c r="F42" i="6"/>
  <c r="E42" i="6"/>
  <c r="D42" i="6"/>
  <c r="C42" i="6"/>
  <c r="B42" i="6"/>
  <c r="G42" i="6" s="1"/>
  <c r="H41" i="6"/>
  <c r="F41" i="6"/>
  <c r="E41" i="6"/>
  <c r="D41" i="6"/>
  <c r="C41" i="6"/>
  <c r="B41" i="6"/>
  <c r="G41" i="6" s="1"/>
  <c r="H40" i="6"/>
  <c r="F40" i="6"/>
  <c r="E40" i="6"/>
  <c r="D40" i="6"/>
  <c r="C40" i="6"/>
  <c r="B40" i="6"/>
  <c r="G40" i="6" s="1"/>
  <c r="H39" i="6"/>
  <c r="F39" i="6"/>
  <c r="E39" i="6"/>
  <c r="D39" i="6"/>
  <c r="C39" i="6"/>
  <c r="B39" i="6"/>
  <c r="G39" i="6" s="1"/>
  <c r="H38" i="6"/>
  <c r="F38" i="6"/>
  <c r="E38" i="6"/>
  <c r="D38" i="6"/>
  <c r="C38" i="6"/>
  <c r="B38" i="6"/>
  <c r="G38" i="6" s="1"/>
  <c r="H37" i="6"/>
  <c r="F37" i="6"/>
  <c r="E37" i="6"/>
  <c r="D37" i="6"/>
  <c r="C37" i="6"/>
  <c r="B37" i="6"/>
  <c r="G37" i="6" s="1"/>
  <c r="H36" i="6"/>
  <c r="F36" i="6"/>
  <c r="E36" i="6"/>
  <c r="D36" i="6"/>
  <c r="C36" i="6"/>
  <c r="B36" i="6"/>
  <c r="G36" i="6" s="1"/>
  <c r="H35" i="6"/>
  <c r="F35" i="6"/>
  <c r="E35" i="6"/>
  <c r="D35" i="6"/>
  <c r="C35" i="6"/>
  <c r="B35" i="6"/>
  <c r="G35" i="6" s="1"/>
  <c r="H34" i="6"/>
  <c r="F34" i="6"/>
  <c r="E34" i="6"/>
  <c r="D34" i="6"/>
  <c r="C34" i="6"/>
  <c r="B34" i="6"/>
  <c r="G34" i="6" s="1"/>
  <c r="H33" i="6"/>
  <c r="F33" i="6"/>
  <c r="E33" i="6"/>
  <c r="D33" i="6"/>
  <c r="C33" i="6"/>
  <c r="B33" i="6"/>
  <c r="G33" i="6" s="1"/>
  <c r="H32" i="6"/>
  <c r="G32" i="6"/>
  <c r="F32" i="6"/>
  <c r="E32" i="6"/>
  <c r="D32" i="6"/>
  <c r="C32" i="6"/>
  <c r="B32" i="6"/>
  <c r="H31" i="6"/>
  <c r="F31" i="6"/>
  <c r="E31" i="6"/>
  <c r="D31" i="6"/>
  <c r="C31" i="6"/>
  <c r="B31" i="6"/>
  <c r="G31" i="6" s="1"/>
  <c r="H30" i="6"/>
  <c r="F30" i="6"/>
  <c r="E30" i="6"/>
  <c r="D30" i="6"/>
  <c r="C30" i="6"/>
  <c r="B30" i="6"/>
  <c r="G30" i="6" s="1"/>
  <c r="H29" i="6"/>
  <c r="F29" i="6"/>
  <c r="E29" i="6"/>
  <c r="D29" i="6"/>
  <c r="C29" i="6"/>
  <c r="B29" i="6"/>
  <c r="G29" i="6" s="1"/>
  <c r="H28" i="6"/>
  <c r="F28" i="6"/>
  <c r="E28" i="6"/>
  <c r="D28" i="6"/>
  <c r="C28" i="6"/>
  <c r="B28" i="6"/>
  <c r="G28" i="6" s="1"/>
  <c r="H27" i="6"/>
  <c r="F27" i="6"/>
  <c r="E27" i="6"/>
  <c r="D27" i="6"/>
  <c r="C27" i="6"/>
  <c r="B27" i="6"/>
  <c r="G27" i="6" s="1"/>
  <c r="H26" i="6"/>
  <c r="F26" i="6"/>
  <c r="E26" i="6"/>
  <c r="D26" i="6"/>
  <c r="C26" i="6"/>
  <c r="B26" i="6"/>
  <c r="G26" i="6" s="1"/>
  <c r="H25" i="6"/>
  <c r="F25" i="6"/>
  <c r="E25" i="6"/>
  <c r="D25" i="6"/>
  <c r="C25" i="6"/>
  <c r="B25" i="6"/>
  <c r="G25" i="6" s="1"/>
  <c r="H24" i="6"/>
  <c r="F24" i="6"/>
  <c r="E24" i="6"/>
  <c r="D24" i="6"/>
  <c r="C24" i="6"/>
  <c r="B24" i="6"/>
  <c r="G24" i="6" s="1"/>
  <c r="H23" i="6"/>
  <c r="F23" i="6"/>
  <c r="E23" i="6"/>
  <c r="D23" i="6"/>
  <c r="C23" i="6"/>
  <c r="B23" i="6"/>
  <c r="G23" i="6" s="1"/>
  <c r="H22" i="6"/>
  <c r="F22" i="6"/>
  <c r="E22" i="6"/>
  <c r="D22" i="6"/>
  <c r="C22" i="6"/>
  <c r="B22" i="6"/>
  <c r="G22" i="6" s="1"/>
  <c r="H21" i="6"/>
  <c r="F21" i="6"/>
  <c r="E21" i="6"/>
  <c r="D21" i="6"/>
  <c r="C21" i="6"/>
  <c r="B21" i="6"/>
  <c r="G21" i="6" s="1"/>
  <c r="H20" i="6"/>
  <c r="F20" i="6"/>
  <c r="E20" i="6"/>
  <c r="D20" i="6"/>
  <c r="C20" i="6"/>
  <c r="B20" i="6"/>
  <c r="G20" i="6" s="1"/>
  <c r="H19" i="6"/>
  <c r="F19" i="6"/>
  <c r="E19" i="6"/>
  <c r="D19" i="6"/>
  <c r="C19" i="6"/>
  <c r="B19" i="6"/>
  <c r="G19" i="6" s="1"/>
  <c r="H18" i="6"/>
  <c r="F18" i="6"/>
  <c r="E18" i="6"/>
  <c r="D18" i="6"/>
  <c r="C18" i="6"/>
  <c r="B18" i="6"/>
  <c r="G18" i="6" s="1"/>
  <c r="H17" i="6"/>
  <c r="F17" i="6"/>
  <c r="E17" i="6"/>
  <c r="D17" i="6"/>
  <c r="C17" i="6"/>
  <c r="B17" i="6"/>
  <c r="G17" i="6" s="1"/>
  <c r="H16" i="6"/>
  <c r="F16" i="6"/>
  <c r="E16" i="6"/>
  <c r="D16" i="6"/>
  <c r="C16" i="6"/>
  <c r="B16" i="6"/>
  <c r="G16" i="6" s="1"/>
  <c r="H15" i="6"/>
  <c r="F15" i="6"/>
  <c r="E15" i="6"/>
  <c r="D15" i="6"/>
  <c r="C15" i="6"/>
  <c r="B15" i="6"/>
  <c r="G15" i="6" s="1"/>
  <c r="H14" i="6"/>
  <c r="F14" i="6"/>
  <c r="E14" i="6"/>
  <c r="D14" i="6"/>
  <c r="C14" i="6"/>
  <c r="B14" i="6"/>
  <c r="G14" i="6" s="1"/>
  <c r="H13" i="6"/>
  <c r="F13" i="6"/>
  <c r="E13" i="6"/>
  <c r="D13" i="6"/>
  <c r="C13" i="6"/>
  <c r="B13" i="6"/>
  <c r="G13" i="6" s="1"/>
  <c r="H12" i="6"/>
  <c r="F12" i="6"/>
  <c r="E12" i="6"/>
  <c r="D12" i="6"/>
  <c r="C12" i="6"/>
  <c r="B12" i="6"/>
  <c r="G12" i="6" s="1"/>
  <c r="H11" i="6"/>
  <c r="G11" i="6"/>
  <c r="F11" i="6"/>
  <c r="E11" i="6"/>
  <c r="D11" i="6"/>
  <c r="C11" i="6"/>
  <c r="B11" i="6"/>
  <c r="H10" i="6"/>
  <c r="F10" i="6"/>
  <c r="E10" i="6"/>
  <c r="D10" i="6"/>
  <c r="C10" i="6"/>
  <c r="B10" i="6"/>
  <c r="G10" i="6" s="1"/>
  <c r="H9" i="6"/>
  <c r="F9" i="6"/>
  <c r="E9" i="6"/>
  <c r="D9" i="6"/>
  <c r="C9" i="6"/>
  <c r="B9" i="6"/>
  <c r="G9" i="6" s="1"/>
  <c r="H8" i="6"/>
  <c r="F8" i="6"/>
  <c r="E8" i="6"/>
  <c r="D8" i="6"/>
  <c r="C8" i="6"/>
  <c r="B8" i="6"/>
  <c r="G8" i="6" s="1"/>
  <c r="H7" i="6"/>
  <c r="F7" i="6"/>
  <c r="E7" i="6"/>
  <c r="D7" i="6"/>
  <c r="C7" i="6"/>
  <c r="B7" i="6"/>
  <c r="G7" i="6" s="1"/>
  <c r="H6" i="6"/>
  <c r="E6" i="6"/>
  <c r="D6" i="6"/>
  <c r="C6" i="6"/>
  <c r="B6" i="6"/>
  <c r="G6" i="6" s="1"/>
  <c r="H5" i="6"/>
  <c r="F5" i="6"/>
  <c r="E5" i="6"/>
  <c r="B5" i="6"/>
  <c r="G5" i="6" s="1"/>
  <c r="I86" i="5"/>
  <c r="G86" i="5"/>
  <c r="H86" i="5" s="1"/>
  <c r="J86" i="5" s="1"/>
  <c r="I85" i="5"/>
  <c r="G85" i="5"/>
  <c r="H85" i="5" s="1"/>
  <c r="J85" i="5" s="1"/>
  <c r="I84" i="5"/>
  <c r="G84" i="5"/>
  <c r="H84" i="5" s="1"/>
  <c r="J84" i="5" s="1"/>
  <c r="I83" i="5"/>
  <c r="G83" i="5"/>
  <c r="H83" i="5" s="1"/>
  <c r="J83" i="5" s="1"/>
  <c r="I82" i="5"/>
  <c r="G82" i="5"/>
  <c r="H82" i="5" s="1"/>
  <c r="J82" i="5" s="1"/>
  <c r="I81" i="5"/>
  <c r="G81" i="5"/>
  <c r="H81" i="5" s="1"/>
  <c r="J81" i="5" s="1"/>
  <c r="I80" i="5"/>
  <c r="G80" i="5"/>
  <c r="H80" i="5" s="1"/>
  <c r="J80" i="5" s="1"/>
  <c r="I79" i="5"/>
  <c r="G79" i="5"/>
  <c r="H79" i="5" s="1"/>
  <c r="J79" i="5" s="1"/>
  <c r="I78" i="5"/>
  <c r="G78" i="5"/>
  <c r="H78" i="5" s="1"/>
  <c r="J78" i="5" s="1"/>
  <c r="I77" i="5"/>
  <c r="G77" i="5"/>
  <c r="H77" i="5" s="1"/>
  <c r="J77" i="5" s="1"/>
  <c r="I76" i="5"/>
  <c r="G76" i="5"/>
  <c r="H76" i="5" s="1"/>
  <c r="J76" i="5" s="1"/>
  <c r="I75" i="5"/>
  <c r="G75" i="5"/>
  <c r="H75" i="5" s="1"/>
  <c r="J75" i="5" s="1"/>
  <c r="I74" i="5"/>
  <c r="G74" i="5"/>
  <c r="H74" i="5" s="1"/>
  <c r="J74" i="5" s="1"/>
  <c r="I73" i="5"/>
  <c r="G73" i="5"/>
  <c r="H73" i="5" s="1"/>
  <c r="J73" i="5" s="1"/>
  <c r="I72" i="5"/>
  <c r="G72" i="5"/>
  <c r="H72" i="5" s="1"/>
  <c r="J72" i="5" s="1"/>
  <c r="I71" i="5"/>
  <c r="G71" i="5"/>
  <c r="H71" i="5" s="1"/>
  <c r="J71" i="5" s="1"/>
  <c r="I70" i="5"/>
  <c r="G70" i="5"/>
  <c r="H70" i="5" s="1"/>
  <c r="J70" i="5" s="1"/>
  <c r="I69" i="5"/>
  <c r="G69" i="5"/>
  <c r="H69" i="5" s="1"/>
  <c r="J69" i="5" s="1"/>
  <c r="I68" i="5"/>
  <c r="G68" i="5"/>
  <c r="H68" i="5" s="1"/>
  <c r="J68" i="5" s="1"/>
  <c r="I67" i="5"/>
  <c r="G67" i="5"/>
  <c r="H67" i="5" s="1"/>
  <c r="J67" i="5" s="1"/>
  <c r="I66" i="5"/>
  <c r="G66" i="5"/>
  <c r="H66" i="5" s="1"/>
  <c r="J66" i="5" s="1"/>
  <c r="I65" i="5"/>
  <c r="G65" i="5"/>
  <c r="H65" i="5" s="1"/>
  <c r="J65" i="5" s="1"/>
  <c r="I64" i="5"/>
  <c r="G64" i="5"/>
  <c r="H64" i="5" s="1"/>
  <c r="J64" i="5" s="1"/>
  <c r="I63" i="5"/>
  <c r="G63" i="5"/>
  <c r="H63" i="5" s="1"/>
  <c r="J63" i="5" s="1"/>
  <c r="I62" i="5"/>
  <c r="G62" i="5"/>
  <c r="H62" i="5" s="1"/>
  <c r="J62" i="5" s="1"/>
  <c r="I61" i="5"/>
  <c r="G61" i="5"/>
  <c r="H61" i="5" s="1"/>
  <c r="J61" i="5" s="1"/>
  <c r="I60" i="5"/>
  <c r="G60" i="5"/>
  <c r="H60" i="5" s="1"/>
  <c r="J60" i="5" s="1"/>
  <c r="I59" i="5"/>
  <c r="G59" i="5"/>
  <c r="H59" i="5" s="1"/>
  <c r="J59" i="5" s="1"/>
  <c r="I58" i="5"/>
  <c r="G58" i="5"/>
  <c r="H58" i="5" s="1"/>
  <c r="J58" i="5" s="1"/>
  <c r="I57" i="5"/>
  <c r="G57" i="5"/>
  <c r="H57" i="5" s="1"/>
  <c r="J57" i="5" s="1"/>
  <c r="I56" i="5"/>
  <c r="G56" i="5"/>
  <c r="H56" i="5" s="1"/>
  <c r="J56" i="5" s="1"/>
  <c r="I55" i="5"/>
  <c r="G55" i="5"/>
  <c r="H55" i="5" s="1"/>
  <c r="J55" i="5" s="1"/>
  <c r="I54" i="5"/>
  <c r="G54" i="5"/>
  <c r="H54" i="5" s="1"/>
  <c r="J54" i="5" s="1"/>
  <c r="I53" i="5"/>
  <c r="G53" i="5"/>
  <c r="H53" i="5" s="1"/>
  <c r="J53" i="5" s="1"/>
  <c r="I52" i="5"/>
  <c r="G52" i="5"/>
  <c r="H52" i="5" s="1"/>
  <c r="J52" i="5" s="1"/>
  <c r="I51" i="5"/>
  <c r="G51" i="5"/>
  <c r="H51" i="5" s="1"/>
  <c r="J51" i="5" s="1"/>
  <c r="I50" i="5"/>
  <c r="G50" i="5"/>
  <c r="H50" i="5" s="1"/>
  <c r="J50" i="5" s="1"/>
  <c r="I49" i="5"/>
  <c r="G49" i="5"/>
  <c r="H49" i="5" s="1"/>
  <c r="J49" i="5" s="1"/>
  <c r="I48" i="5"/>
  <c r="G48" i="5"/>
  <c r="H48" i="5" s="1"/>
  <c r="J48" i="5" s="1"/>
  <c r="I47" i="5"/>
  <c r="G47" i="5"/>
  <c r="H47" i="5" s="1"/>
  <c r="J47" i="5" s="1"/>
  <c r="I46" i="5"/>
  <c r="G46" i="5"/>
  <c r="H46" i="5" s="1"/>
  <c r="J46" i="5" s="1"/>
  <c r="I45" i="5"/>
  <c r="G45" i="5"/>
  <c r="H45" i="5" s="1"/>
  <c r="J45" i="5" s="1"/>
  <c r="I44" i="5"/>
  <c r="G44" i="5"/>
  <c r="H44" i="5" s="1"/>
  <c r="J44" i="5" s="1"/>
  <c r="I43" i="5"/>
  <c r="G43" i="5"/>
  <c r="H43" i="5" s="1"/>
  <c r="J43" i="5" s="1"/>
  <c r="I42" i="5"/>
  <c r="G42" i="5"/>
  <c r="H42" i="5" s="1"/>
  <c r="J42" i="5" s="1"/>
  <c r="I41" i="5"/>
  <c r="G41" i="5"/>
  <c r="H41" i="5" s="1"/>
  <c r="J41" i="5" s="1"/>
  <c r="I40" i="5"/>
  <c r="G40" i="5"/>
  <c r="H40" i="5" s="1"/>
  <c r="J40" i="5" s="1"/>
  <c r="I39" i="5"/>
  <c r="G39" i="5"/>
  <c r="H39" i="5" s="1"/>
  <c r="J39" i="5" s="1"/>
  <c r="I38" i="5"/>
  <c r="G38" i="5"/>
  <c r="H38" i="5" s="1"/>
  <c r="J38" i="5" s="1"/>
  <c r="I37" i="5"/>
  <c r="G37" i="5"/>
  <c r="H37" i="5" s="1"/>
  <c r="J37" i="5" s="1"/>
  <c r="I36" i="5"/>
  <c r="G36" i="5"/>
  <c r="H36" i="5" s="1"/>
  <c r="J36" i="5" s="1"/>
  <c r="I35" i="5"/>
  <c r="G35" i="5"/>
  <c r="H35" i="5" s="1"/>
  <c r="J35" i="5" s="1"/>
  <c r="I34" i="5"/>
  <c r="G34" i="5"/>
  <c r="H34" i="5" s="1"/>
  <c r="J34" i="5" s="1"/>
  <c r="I33" i="5"/>
  <c r="G33" i="5"/>
  <c r="H33" i="5" s="1"/>
  <c r="J33" i="5" s="1"/>
  <c r="I32" i="5"/>
  <c r="G32" i="5"/>
  <c r="H32" i="5" s="1"/>
  <c r="J32" i="5" s="1"/>
  <c r="I31" i="5"/>
  <c r="G31" i="5"/>
  <c r="H31" i="5" s="1"/>
  <c r="J31" i="5" s="1"/>
  <c r="I30" i="5"/>
  <c r="G30" i="5"/>
  <c r="H30" i="5" s="1"/>
  <c r="J30" i="5" s="1"/>
  <c r="I29" i="5"/>
  <c r="G29" i="5"/>
  <c r="H29" i="5" s="1"/>
  <c r="J29" i="5" s="1"/>
  <c r="I28" i="5"/>
  <c r="G28" i="5"/>
  <c r="H28" i="5" s="1"/>
  <c r="J28" i="5" s="1"/>
  <c r="I27" i="5"/>
  <c r="G27" i="5"/>
  <c r="H27" i="5" s="1"/>
  <c r="J27" i="5" s="1"/>
  <c r="I26" i="5"/>
  <c r="G26" i="5"/>
  <c r="H26" i="5" s="1"/>
  <c r="J26" i="5" s="1"/>
  <c r="I25" i="5"/>
  <c r="G25" i="5"/>
  <c r="H25" i="5" s="1"/>
  <c r="J25" i="5" s="1"/>
  <c r="I24" i="5"/>
  <c r="G24" i="5"/>
  <c r="H24" i="5" s="1"/>
  <c r="J24" i="5" s="1"/>
  <c r="I23" i="5"/>
  <c r="G23" i="5"/>
  <c r="H23" i="5" s="1"/>
  <c r="J23" i="5" s="1"/>
  <c r="I22" i="5"/>
  <c r="G22" i="5"/>
  <c r="H22" i="5" s="1"/>
  <c r="J22" i="5" s="1"/>
  <c r="I21" i="5"/>
  <c r="G21" i="5"/>
  <c r="H21" i="5" s="1"/>
  <c r="J21" i="5" s="1"/>
  <c r="I20" i="5"/>
  <c r="G20" i="5"/>
  <c r="H20" i="5" s="1"/>
  <c r="J20" i="5" s="1"/>
  <c r="I19" i="5"/>
  <c r="G19" i="5"/>
  <c r="H19" i="5" s="1"/>
  <c r="J19" i="5" s="1"/>
  <c r="I18" i="5"/>
  <c r="G18" i="5"/>
  <c r="H18" i="5" s="1"/>
  <c r="J18" i="5" s="1"/>
  <c r="I17" i="5"/>
  <c r="G17" i="5"/>
  <c r="H17" i="5" s="1"/>
  <c r="J17" i="5" s="1"/>
  <c r="I16" i="5"/>
  <c r="G16" i="5"/>
  <c r="H16" i="5" s="1"/>
  <c r="J16" i="5" s="1"/>
  <c r="I15" i="5"/>
  <c r="G15" i="5"/>
  <c r="H15" i="5" s="1"/>
  <c r="J15" i="5" s="1"/>
  <c r="I14" i="5"/>
  <c r="G14" i="5"/>
  <c r="H14" i="5" s="1"/>
  <c r="J14" i="5" s="1"/>
  <c r="I13" i="5"/>
  <c r="G13" i="5"/>
  <c r="H13" i="5" s="1"/>
  <c r="J13" i="5" s="1"/>
  <c r="I12" i="5"/>
  <c r="G12" i="5"/>
  <c r="H12" i="5" s="1"/>
  <c r="J12" i="5" s="1"/>
  <c r="G11" i="5"/>
  <c r="G10" i="5"/>
  <c r="G9" i="5"/>
  <c r="H9" i="5" s="1"/>
  <c r="G8" i="5"/>
  <c r="H8" i="5" s="1"/>
  <c r="G7" i="5"/>
  <c r="H7" i="5" s="1"/>
  <c r="J66" i="4"/>
  <c r="I66" i="4"/>
  <c r="H66" i="4"/>
  <c r="G66" i="4"/>
  <c r="I65" i="4"/>
  <c r="H65" i="4"/>
  <c r="J65" i="4" s="1"/>
  <c r="G65" i="4"/>
  <c r="I64" i="4"/>
  <c r="H64" i="4"/>
  <c r="J64" i="4" s="1"/>
  <c r="G64" i="4"/>
  <c r="J63" i="4"/>
  <c r="I63" i="4"/>
  <c r="H63" i="4"/>
  <c r="G63" i="4"/>
  <c r="I62" i="4"/>
  <c r="H62" i="4"/>
  <c r="J62" i="4" s="1"/>
  <c r="G62" i="4"/>
  <c r="I61" i="4"/>
  <c r="H61" i="4"/>
  <c r="J61" i="4" s="1"/>
  <c r="G61" i="4"/>
  <c r="J60" i="4"/>
  <c r="I60" i="4"/>
  <c r="H60" i="4"/>
  <c r="G60" i="4"/>
  <c r="I59" i="4"/>
  <c r="H59" i="4"/>
  <c r="J59" i="4" s="1"/>
  <c r="G59" i="4"/>
  <c r="I58" i="4"/>
  <c r="H58" i="4"/>
  <c r="J58" i="4" s="1"/>
  <c r="G58" i="4"/>
  <c r="J57" i="4"/>
  <c r="I57" i="4"/>
  <c r="H57" i="4"/>
  <c r="G57" i="4"/>
  <c r="I56" i="4"/>
  <c r="H56" i="4"/>
  <c r="J56" i="4" s="1"/>
  <c r="G56" i="4"/>
  <c r="I55" i="4"/>
  <c r="H55" i="4"/>
  <c r="J55" i="4" s="1"/>
  <c r="G55" i="4"/>
  <c r="J54" i="4"/>
  <c r="I54" i="4"/>
  <c r="H54" i="4"/>
  <c r="G54" i="4"/>
  <c r="I53" i="4"/>
  <c r="H53" i="4"/>
  <c r="J53" i="4" s="1"/>
  <c r="G53" i="4"/>
  <c r="I52" i="4"/>
  <c r="H52" i="4"/>
  <c r="J52" i="4" s="1"/>
  <c r="G52" i="4"/>
  <c r="J51" i="4"/>
  <c r="I51" i="4"/>
  <c r="H51" i="4"/>
  <c r="G51" i="4"/>
  <c r="I50" i="4"/>
  <c r="H50" i="4"/>
  <c r="J50" i="4" s="1"/>
  <c r="G50" i="4"/>
  <c r="I49" i="4"/>
  <c r="H49" i="4"/>
  <c r="J49" i="4" s="1"/>
  <c r="G49" i="4"/>
  <c r="J48" i="4"/>
  <c r="I48" i="4"/>
  <c r="H48" i="4"/>
  <c r="G48" i="4"/>
  <c r="I47" i="4"/>
  <c r="H47" i="4"/>
  <c r="J47" i="4" s="1"/>
  <c r="G47" i="4"/>
  <c r="I46" i="4"/>
  <c r="H46" i="4"/>
  <c r="J46" i="4" s="1"/>
  <c r="G46" i="4"/>
  <c r="J45" i="4"/>
  <c r="I45" i="4"/>
  <c r="H45" i="4"/>
  <c r="G45" i="4"/>
  <c r="I44" i="4"/>
  <c r="H44" i="4"/>
  <c r="J44" i="4" s="1"/>
  <c r="G44" i="4"/>
  <c r="I43" i="4"/>
  <c r="H43" i="4"/>
  <c r="J43" i="4" s="1"/>
  <c r="G43" i="4"/>
  <c r="J42" i="4"/>
  <c r="I42" i="4"/>
  <c r="H42" i="4"/>
  <c r="G42" i="4"/>
  <c r="I41" i="4"/>
  <c r="H41" i="4"/>
  <c r="J41" i="4" s="1"/>
  <c r="G41" i="4"/>
  <c r="I40" i="4"/>
  <c r="H40" i="4"/>
  <c r="J40" i="4" s="1"/>
  <c r="G40" i="4"/>
  <c r="J39" i="4"/>
  <c r="I39" i="4"/>
  <c r="H39" i="4"/>
  <c r="G39" i="4"/>
  <c r="I38" i="4"/>
  <c r="H38" i="4"/>
  <c r="J38" i="4" s="1"/>
  <c r="G38" i="4"/>
  <c r="I37" i="4"/>
  <c r="H37" i="4"/>
  <c r="J37" i="4" s="1"/>
  <c r="G37" i="4"/>
  <c r="J36" i="4"/>
  <c r="I36" i="4"/>
  <c r="H36" i="4"/>
  <c r="G36" i="4"/>
  <c r="I35" i="4"/>
  <c r="H35" i="4"/>
  <c r="J35" i="4" s="1"/>
  <c r="G35" i="4"/>
  <c r="I34" i="4"/>
  <c r="H34" i="4"/>
  <c r="J34" i="4" s="1"/>
  <c r="G34" i="4"/>
  <c r="J33" i="4"/>
  <c r="I33" i="4"/>
  <c r="H33" i="4"/>
  <c r="G33" i="4"/>
  <c r="I32" i="4"/>
  <c r="H32" i="4"/>
  <c r="J32" i="4" s="1"/>
  <c r="G32" i="4"/>
  <c r="I31" i="4"/>
  <c r="H31" i="4"/>
  <c r="J31" i="4" s="1"/>
  <c r="G31" i="4"/>
  <c r="J30" i="4"/>
  <c r="I30" i="4"/>
  <c r="H30" i="4"/>
  <c r="G30" i="4"/>
  <c r="I29" i="4"/>
  <c r="H29" i="4"/>
  <c r="J29" i="4" s="1"/>
  <c r="G29" i="4"/>
  <c r="I28" i="4"/>
  <c r="H28" i="4"/>
  <c r="J28" i="4" s="1"/>
  <c r="G28" i="4"/>
  <c r="J27" i="4"/>
  <c r="I27" i="4"/>
  <c r="H27" i="4"/>
  <c r="G27" i="4"/>
  <c r="I26" i="4"/>
  <c r="H26" i="4"/>
  <c r="J26" i="4" s="1"/>
  <c r="G26" i="4"/>
  <c r="I25" i="4"/>
  <c r="H25" i="4"/>
  <c r="J25" i="4" s="1"/>
  <c r="G25" i="4"/>
  <c r="J24" i="4"/>
  <c r="I24" i="4"/>
  <c r="H24" i="4"/>
  <c r="G24" i="4"/>
  <c r="I23" i="4"/>
  <c r="H23" i="4"/>
  <c r="J23" i="4" s="1"/>
  <c r="G23" i="4"/>
  <c r="I22" i="4"/>
  <c r="H22" i="4"/>
  <c r="J22" i="4" s="1"/>
  <c r="G22" i="4"/>
  <c r="J21" i="4"/>
  <c r="I21" i="4"/>
  <c r="H21" i="4"/>
  <c r="G21" i="4"/>
  <c r="I20" i="4"/>
  <c r="H20" i="4"/>
  <c r="J20" i="4" s="1"/>
  <c r="G20" i="4"/>
  <c r="I19" i="4"/>
  <c r="H19" i="4"/>
  <c r="J19" i="4" s="1"/>
  <c r="G19" i="4"/>
  <c r="J18" i="4"/>
  <c r="I18" i="4"/>
  <c r="H18" i="4"/>
  <c r="G18" i="4"/>
  <c r="I17" i="4"/>
  <c r="H17" i="4"/>
  <c r="J17" i="4" s="1"/>
  <c r="G17" i="4"/>
  <c r="I16" i="4"/>
  <c r="H16" i="4"/>
  <c r="J16" i="4" s="1"/>
  <c r="G16" i="4"/>
  <c r="J15" i="4"/>
  <c r="I15" i="4"/>
  <c r="H15" i="4"/>
  <c r="G15" i="4"/>
  <c r="K9" i="4"/>
  <c r="H7" i="4"/>
  <c r="G7" i="4"/>
  <c r="G8" i="4" s="1"/>
  <c r="K6" i="4"/>
  <c r="K7" i="4" s="1"/>
  <c r="K5" i="4"/>
  <c r="K3" i="4"/>
  <c r="L6" i="3"/>
  <c r="L5" i="3"/>
  <c r="L3" i="3"/>
  <c r="K206" i="2"/>
  <c r="J206" i="2"/>
  <c r="I206" i="2"/>
  <c r="H206" i="2"/>
  <c r="G206" i="2"/>
  <c r="K205" i="2"/>
  <c r="J205" i="2"/>
  <c r="I205" i="2"/>
  <c r="H205" i="2"/>
  <c r="G205" i="2"/>
  <c r="K204" i="2"/>
  <c r="J204" i="2"/>
  <c r="I204" i="2"/>
  <c r="H204" i="2"/>
  <c r="G204" i="2"/>
  <c r="K203" i="2"/>
  <c r="J203" i="2"/>
  <c r="I203" i="2"/>
  <c r="H203" i="2"/>
  <c r="G203" i="2"/>
  <c r="K202" i="2"/>
  <c r="J202" i="2"/>
  <c r="I202" i="2"/>
  <c r="H202" i="2"/>
  <c r="G202" i="2"/>
  <c r="K201" i="2"/>
  <c r="J201" i="2"/>
  <c r="I201" i="2"/>
  <c r="H201" i="2"/>
  <c r="G201" i="2"/>
  <c r="K200" i="2"/>
  <c r="J200" i="2"/>
  <c r="I200" i="2"/>
  <c r="H200" i="2"/>
  <c r="G200" i="2"/>
  <c r="K199" i="2"/>
  <c r="J199" i="2"/>
  <c r="I199" i="2"/>
  <c r="H199" i="2"/>
  <c r="G199" i="2"/>
  <c r="K198" i="2"/>
  <c r="J198" i="2"/>
  <c r="I198" i="2"/>
  <c r="H198" i="2"/>
  <c r="G198" i="2"/>
  <c r="K197" i="2"/>
  <c r="J197" i="2"/>
  <c r="I197" i="2"/>
  <c r="H197" i="2"/>
  <c r="G197" i="2"/>
  <c r="K196" i="2"/>
  <c r="J196" i="2"/>
  <c r="I196" i="2"/>
  <c r="H196" i="2"/>
  <c r="G196" i="2"/>
  <c r="K195" i="2"/>
  <c r="J195" i="2"/>
  <c r="I195" i="2"/>
  <c r="H195" i="2"/>
  <c r="G195" i="2"/>
  <c r="K194" i="2"/>
  <c r="J194" i="2"/>
  <c r="I194" i="2"/>
  <c r="H194" i="2"/>
  <c r="G194" i="2"/>
  <c r="K193" i="2"/>
  <c r="J193" i="2"/>
  <c r="I193" i="2"/>
  <c r="H193" i="2"/>
  <c r="G193" i="2"/>
  <c r="K192" i="2"/>
  <c r="J192" i="2"/>
  <c r="I192" i="2"/>
  <c r="H192" i="2"/>
  <c r="G192" i="2"/>
  <c r="K191" i="2"/>
  <c r="J191" i="2"/>
  <c r="I191" i="2"/>
  <c r="H191" i="2"/>
  <c r="G191" i="2"/>
  <c r="K190" i="2"/>
  <c r="J190" i="2"/>
  <c r="I190" i="2"/>
  <c r="H190" i="2"/>
  <c r="G190" i="2"/>
  <c r="K189" i="2"/>
  <c r="J189" i="2"/>
  <c r="I189" i="2"/>
  <c r="H189" i="2"/>
  <c r="G189" i="2"/>
  <c r="K188" i="2"/>
  <c r="J188" i="2"/>
  <c r="I188" i="2"/>
  <c r="H188" i="2"/>
  <c r="G188" i="2"/>
  <c r="K187" i="2"/>
  <c r="J187" i="2"/>
  <c r="I187" i="2"/>
  <c r="H187" i="2"/>
  <c r="G187" i="2"/>
  <c r="K186" i="2"/>
  <c r="J186" i="2"/>
  <c r="I186" i="2"/>
  <c r="H186" i="2"/>
  <c r="G186" i="2"/>
  <c r="K185" i="2"/>
  <c r="J185" i="2"/>
  <c r="I185" i="2"/>
  <c r="H185" i="2"/>
  <c r="G185" i="2"/>
  <c r="K184" i="2"/>
  <c r="J184" i="2"/>
  <c r="I184" i="2"/>
  <c r="H184" i="2"/>
  <c r="G184" i="2"/>
  <c r="K183" i="2"/>
  <c r="J183" i="2"/>
  <c r="I183" i="2"/>
  <c r="H183" i="2"/>
  <c r="G183" i="2"/>
  <c r="K182" i="2"/>
  <c r="J182" i="2"/>
  <c r="I182" i="2"/>
  <c r="H182" i="2"/>
  <c r="G182" i="2"/>
  <c r="K181" i="2"/>
  <c r="J181" i="2"/>
  <c r="I181" i="2"/>
  <c r="H181" i="2"/>
  <c r="G181" i="2"/>
  <c r="K180" i="2"/>
  <c r="J180" i="2"/>
  <c r="I180" i="2"/>
  <c r="H180" i="2"/>
  <c r="G180" i="2"/>
  <c r="K179" i="2"/>
  <c r="J179" i="2"/>
  <c r="I179" i="2"/>
  <c r="H179" i="2"/>
  <c r="G179" i="2"/>
  <c r="K178" i="2"/>
  <c r="J178" i="2"/>
  <c r="I178" i="2"/>
  <c r="H178" i="2"/>
  <c r="G178" i="2"/>
  <c r="K177" i="2"/>
  <c r="J177" i="2"/>
  <c r="I177" i="2"/>
  <c r="H177" i="2"/>
  <c r="G177" i="2"/>
  <c r="K176" i="2"/>
  <c r="J176" i="2"/>
  <c r="I176" i="2"/>
  <c r="H176" i="2"/>
  <c r="G176" i="2"/>
  <c r="K175" i="2"/>
  <c r="J175" i="2"/>
  <c r="I175" i="2"/>
  <c r="H175" i="2"/>
  <c r="G175" i="2"/>
  <c r="K174" i="2"/>
  <c r="J174" i="2"/>
  <c r="I174" i="2"/>
  <c r="H174" i="2"/>
  <c r="G174" i="2"/>
  <c r="K173" i="2"/>
  <c r="J173" i="2"/>
  <c r="I173" i="2"/>
  <c r="H173" i="2"/>
  <c r="G173" i="2"/>
  <c r="K172" i="2"/>
  <c r="J172" i="2"/>
  <c r="I172" i="2"/>
  <c r="H172" i="2"/>
  <c r="G172" i="2"/>
  <c r="K171" i="2"/>
  <c r="J171" i="2"/>
  <c r="I171" i="2"/>
  <c r="H171" i="2"/>
  <c r="G171" i="2"/>
  <c r="K170" i="2"/>
  <c r="J170" i="2"/>
  <c r="I170" i="2"/>
  <c r="H170" i="2"/>
  <c r="G170" i="2"/>
  <c r="K169" i="2"/>
  <c r="J169" i="2"/>
  <c r="I169" i="2"/>
  <c r="H169" i="2"/>
  <c r="G169" i="2"/>
  <c r="K168" i="2"/>
  <c r="J168" i="2"/>
  <c r="I168" i="2"/>
  <c r="H168" i="2"/>
  <c r="G168" i="2"/>
  <c r="K167" i="2"/>
  <c r="J167" i="2"/>
  <c r="I167" i="2"/>
  <c r="H167" i="2"/>
  <c r="G167" i="2"/>
  <c r="K166" i="2"/>
  <c r="J166" i="2"/>
  <c r="I166" i="2"/>
  <c r="H166" i="2"/>
  <c r="G166" i="2"/>
  <c r="K165" i="2"/>
  <c r="J165" i="2"/>
  <c r="I165" i="2"/>
  <c r="H165" i="2"/>
  <c r="G165" i="2"/>
  <c r="K164" i="2"/>
  <c r="J164" i="2"/>
  <c r="I164" i="2"/>
  <c r="H164" i="2"/>
  <c r="G164" i="2"/>
  <c r="K163" i="2"/>
  <c r="J163" i="2"/>
  <c r="I163" i="2"/>
  <c r="H163" i="2"/>
  <c r="G163" i="2"/>
  <c r="K162" i="2"/>
  <c r="J162" i="2"/>
  <c r="I162" i="2"/>
  <c r="H162" i="2"/>
  <c r="G162" i="2"/>
  <c r="K161" i="2"/>
  <c r="J161" i="2"/>
  <c r="I161" i="2"/>
  <c r="H161" i="2"/>
  <c r="G161" i="2"/>
  <c r="K160" i="2"/>
  <c r="J160" i="2"/>
  <c r="I160" i="2"/>
  <c r="H160" i="2"/>
  <c r="G160" i="2"/>
  <c r="K159" i="2"/>
  <c r="J159" i="2"/>
  <c r="I159" i="2"/>
  <c r="H159" i="2"/>
  <c r="G159" i="2"/>
  <c r="K158" i="2"/>
  <c r="J158" i="2"/>
  <c r="I158" i="2"/>
  <c r="H158" i="2"/>
  <c r="G158" i="2"/>
  <c r="K157" i="2"/>
  <c r="J157" i="2"/>
  <c r="I157" i="2"/>
  <c r="H157" i="2"/>
  <c r="G157" i="2"/>
  <c r="K156" i="2"/>
  <c r="J156" i="2"/>
  <c r="I156" i="2"/>
  <c r="H156" i="2"/>
  <c r="G156" i="2"/>
  <c r="K155" i="2"/>
  <c r="J155" i="2"/>
  <c r="I155" i="2"/>
  <c r="H155" i="2"/>
  <c r="G155" i="2"/>
  <c r="K154" i="2"/>
  <c r="J154" i="2"/>
  <c r="I154" i="2"/>
  <c r="H154" i="2"/>
  <c r="G154" i="2"/>
  <c r="K153" i="2"/>
  <c r="J153" i="2"/>
  <c r="I153" i="2"/>
  <c r="H153" i="2"/>
  <c r="G153" i="2"/>
  <c r="K152" i="2"/>
  <c r="J152" i="2"/>
  <c r="I152" i="2"/>
  <c r="H152" i="2"/>
  <c r="G152" i="2"/>
  <c r="K151" i="2"/>
  <c r="J151" i="2"/>
  <c r="I151" i="2"/>
  <c r="H151" i="2"/>
  <c r="G151" i="2"/>
  <c r="K150" i="2"/>
  <c r="J150" i="2"/>
  <c r="I150" i="2"/>
  <c r="H150" i="2"/>
  <c r="G150" i="2"/>
  <c r="K149" i="2"/>
  <c r="J149" i="2"/>
  <c r="I149" i="2"/>
  <c r="H149" i="2"/>
  <c r="G149" i="2"/>
  <c r="K148" i="2"/>
  <c r="J148" i="2"/>
  <c r="I148" i="2"/>
  <c r="H148" i="2"/>
  <c r="G148" i="2"/>
  <c r="K147" i="2"/>
  <c r="J147" i="2"/>
  <c r="I147" i="2"/>
  <c r="H147" i="2"/>
  <c r="G147" i="2"/>
  <c r="K146" i="2"/>
  <c r="J146" i="2"/>
  <c r="I146" i="2"/>
  <c r="H146" i="2"/>
  <c r="G146" i="2"/>
  <c r="K145" i="2"/>
  <c r="J145" i="2"/>
  <c r="I145" i="2"/>
  <c r="H145" i="2"/>
  <c r="G145" i="2"/>
  <c r="K144" i="2"/>
  <c r="J144" i="2"/>
  <c r="I144" i="2"/>
  <c r="H144" i="2"/>
  <c r="G144" i="2"/>
  <c r="K143" i="2"/>
  <c r="J143" i="2"/>
  <c r="I143" i="2"/>
  <c r="H143" i="2"/>
  <c r="G143" i="2"/>
  <c r="K142" i="2"/>
  <c r="J142" i="2"/>
  <c r="I142" i="2"/>
  <c r="H142" i="2"/>
  <c r="G142" i="2"/>
  <c r="K141" i="2"/>
  <c r="J141" i="2"/>
  <c r="I141" i="2"/>
  <c r="H141" i="2"/>
  <c r="G141" i="2"/>
  <c r="K140" i="2"/>
  <c r="J140" i="2"/>
  <c r="I140" i="2"/>
  <c r="H140" i="2"/>
  <c r="G140" i="2"/>
  <c r="K139" i="2"/>
  <c r="J139" i="2"/>
  <c r="I139" i="2"/>
  <c r="H139" i="2"/>
  <c r="G139" i="2"/>
  <c r="K138" i="2"/>
  <c r="J138" i="2"/>
  <c r="I138" i="2"/>
  <c r="H138" i="2"/>
  <c r="G138" i="2"/>
  <c r="K137" i="2"/>
  <c r="J137" i="2"/>
  <c r="I137" i="2"/>
  <c r="H137" i="2"/>
  <c r="G137" i="2"/>
  <c r="K136" i="2"/>
  <c r="J136" i="2"/>
  <c r="I136" i="2"/>
  <c r="H136" i="2"/>
  <c r="G136" i="2"/>
  <c r="K135" i="2"/>
  <c r="J135" i="2"/>
  <c r="I135" i="2"/>
  <c r="H135" i="2"/>
  <c r="G135" i="2"/>
  <c r="K134" i="2"/>
  <c r="J134" i="2"/>
  <c r="I134" i="2"/>
  <c r="H134" i="2"/>
  <c r="G134" i="2"/>
  <c r="K133" i="2"/>
  <c r="J133" i="2"/>
  <c r="I133" i="2"/>
  <c r="H133" i="2"/>
  <c r="G133" i="2"/>
  <c r="K132" i="2"/>
  <c r="J132" i="2"/>
  <c r="I132" i="2"/>
  <c r="H132" i="2"/>
  <c r="G132" i="2"/>
  <c r="K131" i="2"/>
  <c r="J131" i="2"/>
  <c r="I131" i="2"/>
  <c r="H131" i="2"/>
  <c r="G131" i="2"/>
  <c r="K130" i="2"/>
  <c r="J130" i="2"/>
  <c r="I130" i="2"/>
  <c r="H130" i="2"/>
  <c r="G130" i="2"/>
  <c r="K129" i="2"/>
  <c r="J129" i="2"/>
  <c r="I129" i="2"/>
  <c r="H129" i="2"/>
  <c r="G129" i="2"/>
  <c r="K128" i="2"/>
  <c r="J128" i="2"/>
  <c r="I128" i="2"/>
  <c r="H128" i="2"/>
  <c r="G128" i="2"/>
  <c r="K127" i="2"/>
  <c r="J127" i="2"/>
  <c r="I127" i="2"/>
  <c r="H127" i="2"/>
  <c r="G127" i="2"/>
  <c r="K126" i="2"/>
  <c r="J126" i="2"/>
  <c r="I126" i="2"/>
  <c r="H126" i="2"/>
  <c r="G126" i="2"/>
  <c r="K125" i="2"/>
  <c r="J125" i="2"/>
  <c r="I125" i="2"/>
  <c r="H125" i="2"/>
  <c r="G125" i="2"/>
  <c r="K124" i="2"/>
  <c r="J124" i="2"/>
  <c r="I124" i="2"/>
  <c r="H124" i="2"/>
  <c r="G124" i="2"/>
  <c r="K123" i="2"/>
  <c r="J123" i="2"/>
  <c r="I123" i="2"/>
  <c r="H123" i="2"/>
  <c r="G123" i="2"/>
  <c r="K122" i="2"/>
  <c r="J122" i="2"/>
  <c r="I122" i="2"/>
  <c r="H122" i="2"/>
  <c r="G122" i="2"/>
  <c r="K121" i="2"/>
  <c r="J121" i="2"/>
  <c r="I121" i="2"/>
  <c r="H121" i="2"/>
  <c r="G121" i="2"/>
  <c r="K120" i="2"/>
  <c r="J120" i="2"/>
  <c r="I120" i="2"/>
  <c r="H120" i="2"/>
  <c r="G120" i="2"/>
  <c r="K119" i="2"/>
  <c r="J119" i="2"/>
  <c r="I119" i="2"/>
  <c r="H119" i="2"/>
  <c r="G119" i="2"/>
  <c r="K118" i="2"/>
  <c r="J118" i="2"/>
  <c r="I118" i="2"/>
  <c r="H118" i="2"/>
  <c r="G118" i="2"/>
  <c r="K117" i="2"/>
  <c r="J117" i="2"/>
  <c r="I117" i="2"/>
  <c r="H117" i="2"/>
  <c r="G117" i="2"/>
  <c r="K116" i="2"/>
  <c r="J116" i="2"/>
  <c r="I116" i="2"/>
  <c r="H116" i="2"/>
  <c r="G116" i="2"/>
  <c r="K115" i="2"/>
  <c r="J115" i="2"/>
  <c r="I115" i="2"/>
  <c r="H115" i="2"/>
  <c r="G115" i="2"/>
  <c r="K114" i="2"/>
  <c r="J114" i="2"/>
  <c r="I114" i="2"/>
  <c r="H114" i="2"/>
  <c r="G114" i="2"/>
  <c r="K113" i="2"/>
  <c r="J113" i="2"/>
  <c r="I113" i="2"/>
  <c r="H113" i="2"/>
  <c r="G113" i="2"/>
  <c r="K112" i="2"/>
  <c r="J112" i="2"/>
  <c r="I112" i="2"/>
  <c r="H112" i="2"/>
  <c r="G112" i="2"/>
  <c r="K111" i="2"/>
  <c r="J111" i="2"/>
  <c r="I111" i="2"/>
  <c r="H111" i="2"/>
  <c r="G111" i="2"/>
  <c r="K110" i="2"/>
  <c r="J110" i="2"/>
  <c r="I110" i="2"/>
  <c r="H110" i="2"/>
  <c r="G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I107" i="2"/>
  <c r="H107" i="2"/>
  <c r="G107" i="2"/>
  <c r="K106" i="2"/>
  <c r="J106" i="2"/>
  <c r="I106" i="2"/>
  <c r="H106" i="2"/>
  <c r="G106" i="2"/>
  <c r="K105" i="2"/>
  <c r="J105" i="2"/>
  <c r="I105" i="2"/>
  <c r="H105" i="2"/>
  <c r="G105" i="2"/>
  <c r="K104" i="2"/>
  <c r="J104" i="2"/>
  <c r="I104" i="2"/>
  <c r="H104" i="2"/>
  <c r="G104" i="2"/>
  <c r="K103" i="2"/>
  <c r="J103" i="2"/>
  <c r="I103" i="2"/>
  <c r="H103" i="2"/>
  <c r="G103" i="2"/>
  <c r="K102" i="2"/>
  <c r="J102" i="2"/>
  <c r="I102" i="2"/>
  <c r="H102" i="2"/>
  <c r="G102" i="2"/>
  <c r="K101" i="2"/>
  <c r="J101" i="2"/>
  <c r="I101" i="2"/>
  <c r="H101" i="2"/>
  <c r="G101" i="2"/>
  <c r="K100" i="2"/>
  <c r="J100" i="2"/>
  <c r="I100" i="2"/>
  <c r="H100" i="2"/>
  <c r="G100" i="2"/>
  <c r="K99" i="2"/>
  <c r="J99" i="2"/>
  <c r="I99" i="2"/>
  <c r="H99" i="2"/>
  <c r="G99" i="2"/>
  <c r="K98" i="2"/>
  <c r="J98" i="2"/>
  <c r="I98" i="2"/>
  <c r="H98" i="2"/>
  <c r="G98" i="2"/>
  <c r="K97" i="2"/>
  <c r="J97" i="2"/>
  <c r="I97" i="2"/>
  <c r="H97" i="2"/>
  <c r="G97" i="2"/>
  <c r="K96" i="2"/>
  <c r="J96" i="2"/>
  <c r="I96" i="2"/>
  <c r="H96" i="2"/>
  <c r="G96" i="2"/>
  <c r="K95" i="2"/>
  <c r="J95" i="2"/>
  <c r="I95" i="2"/>
  <c r="H95" i="2"/>
  <c r="G95" i="2"/>
  <c r="K94" i="2"/>
  <c r="J94" i="2"/>
  <c r="I94" i="2"/>
  <c r="H94" i="2"/>
  <c r="G94" i="2"/>
  <c r="K93" i="2"/>
  <c r="J93" i="2"/>
  <c r="I93" i="2"/>
  <c r="H93" i="2"/>
  <c r="G93" i="2"/>
  <c r="K92" i="2"/>
  <c r="J92" i="2"/>
  <c r="I92" i="2"/>
  <c r="H92" i="2"/>
  <c r="G92" i="2"/>
  <c r="K91" i="2"/>
  <c r="J91" i="2"/>
  <c r="I91" i="2"/>
  <c r="H91" i="2"/>
  <c r="G91" i="2"/>
  <c r="K90" i="2"/>
  <c r="J90" i="2"/>
  <c r="I90" i="2"/>
  <c r="H90" i="2"/>
  <c r="G90" i="2"/>
  <c r="K89" i="2"/>
  <c r="J89" i="2"/>
  <c r="I89" i="2"/>
  <c r="H89" i="2"/>
  <c r="G89" i="2"/>
  <c r="K88" i="2"/>
  <c r="J88" i="2"/>
  <c r="I88" i="2"/>
  <c r="H88" i="2"/>
  <c r="G88" i="2"/>
  <c r="K87" i="2"/>
  <c r="J87" i="2"/>
  <c r="I87" i="2"/>
  <c r="H87" i="2"/>
  <c r="G87" i="2"/>
  <c r="K86" i="2"/>
  <c r="J86" i="2"/>
  <c r="I86" i="2"/>
  <c r="H86" i="2"/>
  <c r="G86" i="2"/>
  <c r="K85" i="2"/>
  <c r="J85" i="2"/>
  <c r="I85" i="2"/>
  <c r="H85" i="2"/>
  <c r="G85" i="2"/>
  <c r="K84" i="2"/>
  <c r="J84" i="2"/>
  <c r="I84" i="2"/>
  <c r="H84" i="2"/>
  <c r="G84" i="2"/>
  <c r="K83" i="2"/>
  <c r="J83" i="2"/>
  <c r="I83" i="2"/>
  <c r="H83" i="2"/>
  <c r="G83" i="2"/>
  <c r="K82" i="2"/>
  <c r="J82" i="2"/>
  <c r="I82" i="2"/>
  <c r="H82" i="2"/>
  <c r="G82" i="2"/>
  <c r="K81" i="2"/>
  <c r="J81" i="2"/>
  <c r="I81" i="2"/>
  <c r="H81" i="2"/>
  <c r="G81" i="2"/>
  <c r="K80" i="2"/>
  <c r="J80" i="2"/>
  <c r="I80" i="2"/>
  <c r="H80" i="2"/>
  <c r="G80" i="2"/>
  <c r="K79" i="2"/>
  <c r="J79" i="2"/>
  <c r="I79" i="2"/>
  <c r="H79" i="2"/>
  <c r="G79" i="2"/>
  <c r="K78" i="2"/>
  <c r="J78" i="2"/>
  <c r="I78" i="2"/>
  <c r="H78" i="2"/>
  <c r="G78" i="2"/>
  <c r="K77" i="2"/>
  <c r="J77" i="2"/>
  <c r="I77" i="2"/>
  <c r="H77" i="2"/>
  <c r="G77" i="2"/>
  <c r="K76" i="2"/>
  <c r="J76" i="2"/>
  <c r="I76" i="2"/>
  <c r="H76" i="2"/>
  <c r="G76" i="2"/>
  <c r="K75" i="2"/>
  <c r="J75" i="2"/>
  <c r="I75" i="2"/>
  <c r="H75" i="2"/>
  <c r="G75" i="2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K71" i="2"/>
  <c r="J71" i="2"/>
  <c r="I71" i="2"/>
  <c r="H71" i="2"/>
  <c r="G71" i="2"/>
  <c r="K70" i="2"/>
  <c r="J70" i="2"/>
  <c r="I70" i="2"/>
  <c r="H70" i="2"/>
  <c r="G70" i="2"/>
  <c r="K69" i="2"/>
  <c r="J69" i="2"/>
  <c r="I69" i="2"/>
  <c r="H69" i="2"/>
  <c r="G69" i="2"/>
  <c r="K68" i="2"/>
  <c r="J68" i="2"/>
  <c r="I68" i="2"/>
  <c r="H68" i="2"/>
  <c r="G68" i="2"/>
  <c r="K67" i="2"/>
  <c r="J67" i="2"/>
  <c r="I67" i="2"/>
  <c r="H67" i="2"/>
  <c r="G67" i="2"/>
  <c r="K66" i="2"/>
  <c r="J66" i="2"/>
  <c r="I66" i="2"/>
  <c r="H66" i="2"/>
  <c r="G66" i="2"/>
  <c r="K65" i="2"/>
  <c r="J65" i="2"/>
  <c r="I65" i="2"/>
  <c r="H65" i="2"/>
  <c r="G65" i="2"/>
  <c r="K64" i="2"/>
  <c r="J64" i="2"/>
  <c r="I64" i="2"/>
  <c r="H64" i="2"/>
  <c r="G64" i="2"/>
  <c r="K63" i="2"/>
  <c r="J63" i="2"/>
  <c r="I63" i="2"/>
  <c r="H63" i="2"/>
  <c r="G63" i="2"/>
  <c r="K62" i="2"/>
  <c r="J62" i="2"/>
  <c r="I62" i="2"/>
  <c r="H62" i="2"/>
  <c r="G62" i="2"/>
  <c r="K61" i="2"/>
  <c r="J61" i="2"/>
  <c r="I61" i="2"/>
  <c r="H61" i="2"/>
  <c r="G61" i="2"/>
  <c r="K60" i="2"/>
  <c r="J60" i="2"/>
  <c r="I60" i="2"/>
  <c r="H60" i="2"/>
  <c r="G60" i="2"/>
  <c r="K59" i="2"/>
  <c r="J59" i="2"/>
  <c r="I59" i="2"/>
  <c r="H59" i="2"/>
  <c r="G59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H9" i="2"/>
  <c r="K9" i="2" s="1"/>
  <c r="G9" i="2"/>
  <c r="J9" i="2" s="1"/>
  <c r="H8" i="2"/>
  <c r="K8" i="2" s="1"/>
  <c r="J8" i="2"/>
  <c r="H7" i="2"/>
  <c r="K7" i="2" s="1"/>
  <c r="G7" i="2"/>
  <c r="J7" i="2" s="1"/>
  <c r="J4" i="2"/>
  <c r="H4" i="2"/>
  <c r="F4" i="2"/>
  <c r="D4" i="2"/>
  <c r="B4" i="2"/>
  <c r="H10" i="5" l="1"/>
  <c r="H11" i="5"/>
  <c r="H9" i="4"/>
  <c r="H10" i="4" s="1"/>
  <c r="G10" i="4" s="1"/>
  <c r="G9" i="4"/>
  <c r="H8" i="4"/>
  <c r="I8" i="2"/>
  <c r="I9" i="2"/>
  <c r="I7" i="2"/>
  <c r="H11" i="4" l="1"/>
  <c r="G11" i="4"/>
  <c r="J4" i="5"/>
  <c r="I10" i="5" l="1"/>
  <c r="I7" i="5"/>
  <c r="J7" i="5" s="1"/>
  <c r="I9" i="5"/>
  <c r="I8" i="5"/>
  <c r="I11" i="5"/>
  <c r="H12" i="4"/>
  <c r="G12" i="4"/>
  <c r="H13" i="4" l="1"/>
  <c r="J8" i="5"/>
  <c r="J9" i="5" s="1"/>
  <c r="J10" i="5" s="1"/>
  <c r="J11" i="5" s="1"/>
  <c r="G13" i="4" l="1"/>
  <c r="H14" i="4" l="1"/>
  <c r="G14" i="4"/>
  <c r="K4" i="4" l="1"/>
  <c r="K10" i="4" l="1"/>
  <c r="I7" i="4"/>
  <c r="I13" i="4"/>
  <c r="J13" i="4" s="1"/>
  <c r="I10" i="4"/>
  <c r="I12" i="4"/>
  <c r="J12" i="4" s="1"/>
  <c r="I9" i="4"/>
  <c r="I8" i="4"/>
  <c r="J14" i="4"/>
  <c r="I11" i="4"/>
  <c r="J11" i="4" s="1"/>
</calcChain>
</file>

<file path=xl/sharedStrings.xml><?xml version="1.0" encoding="utf-8"?>
<sst xmlns="http://schemas.openxmlformats.org/spreadsheetml/2006/main" count="138" uniqueCount="104">
  <si>
    <t>PLANILLA DE RELEVAMIENTO TOPOGRÁFICO</t>
  </si>
  <si>
    <t>Configuración de equipos y proyecto</t>
  </si>
  <si>
    <t>DATOS DEL PROYECTO</t>
  </si>
  <si>
    <t>Proyecto / Obra:</t>
  </si>
  <si>
    <t>Ubicación:</t>
  </si>
  <si>
    <t>Operador:</t>
  </si>
  <si>
    <t>Fecha:</t>
  </si>
  <si>
    <t>Condiciones climáticas:</t>
  </si>
  <si>
    <t>ESTACIÓN TOTAL</t>
  </si>
  <si>
    <t>Marca / Modelo:</t>
  </si>
  <si>
    <t>Nº de serie:</t>
  </si>
  <si>
    <t>Precisión angular ("):</t>
  </si>
  <si>
    <t>Precisión distancia (mm + ppm):</t>
  </si>
  <si>
    <t>Constante de prisma (mm):</t>
  </si>
  <si>
    <t>Altura de instrumento hi (m):</t>
  </si>
  <si>
    <t>NIVEL ÓPTICO / AUTOMÁTICO</t>
  </si>
  <si>
    <t>Aumento:</t>
  </si>
  <si>
    <t>Precisión (mm/km doble nivelación):</t>
  </si>
  <si>
    <t>Tipo de mira:</t>
  </si>
  <si>
    <t>PUNTO DE ESTACIÓN (BASE) - ESTACIÓN TOTAL</t>
  </si>
  <si>
    <t>Punto</t>
  </si>
  <si>
    <t>Norte (Y)</t>
  </si>
  <si>
    <t>Este (X)</t>
  </si>
  <si>
    <t>Cota (Z)</t>
  </si>
  <si>
    <t>Azimut inicial (° ' ")</t>
  </si>
  <si>
    <t>Punto visado atrás</t>
  </si>
  <si>
    <t>LEYENDA DE COLORES</t>
  </si>
  <si>
    <t>Celda editable (dato de entrada)</t>
  </si>
  <si>
    <t>Celda calculada (fórmula, no editar)</t>
  </si>
  <si>
    <t>Encabezado / información</t>
  </si>
  <si>
    <t>Alerta / verificación</t>
  </si>
  <si>
    <t>NOTAS / OBSERVACIONES:</t>
  </si>
  <si>
    <t>ESTACIÓN TOTAL — Importación de datos POLARES (crudos)</t>
  </si>
  <si>
    <t>Ingresar lecturas de campo: ángulos horizontales, verticales (cenital), distancia inclinada, altura de prisma. Se calculan N, E, Z automáticamente.</t>
  </si>
  <si>
    <t>Punto Estación:</t>
  </si>
  <si>
    <t>Norte base:</t>
  </si>
  <si>
    <t>Este base:</t>
  </si>
  <si>
    <t>Cota base:</t>
  </si>
  <si>
    <t>hi (m):</t>
  </si>
  <si>
    <t>Nº</t>
  </si>
  <si>
    <t>Ang. Horiz. (grados dec)</t>
  </si>
  <si>
    <t>Ang. Vert. (grados dec)</t>
  </si>
  <si>
    <t>Dist. Inclinada (m)</t>
  </si>
  <si>
    <t>Altura prisma hp (m)</t>
  </si>
  <si>
    <t>Dist. Horiz. (m)</t>
  </si>
  <si>
    <t>Dif. Nivel Δh (m)</t>
  </si>
  <si>
    <t>Norte Y (m)</t>
  </si>
  <si>
    <t>Este X (m)</t>
  </si>
  <si>
    <t>Cota Z (m)</t>
  </si>
  <si>
    <t>Código</t>
  </si>
  <si>
    <t>Capa/Layer</t>
  </si>
  <si>
    <t>Observaciones</t>
  </si>
  <si>
    <t>P1</t>
  </si>
  <si>
    <t>P2</t>
  </si>
  <si>
    <t>P3</t>
  </si>
  <si>
    <t>ESTACIÓN TOTAL — Importación directa PNEZD (Punto, N, E, Z, Descripción)</t>
  </si>
  <si>
    <t>Pegar aquí los puntos ya calculados por la estación total. Compatible con formatos PENZD/PNEZD de Leica, Sokkia, Topcon, Trimble.</t>
  </si>
  <si>
    <t>TIP: Para importar desde archivo .csv/.txt exportado del equipo, usar Datos → Desde texto/CSV; delimitador = coma o espacio.</t>
  </si>
  <si>
    <t>BM1</t>
  </si>
  <si>
    <t>RESUMEN</t>
  </si>
  <si>
    <t>Puntos cargados:</t>
  </si>
  <si>
    <t>Cota mínima:</t>
  </si>
  <si>
    <t>Cota máxima:</t>
  </si>
  <si>
    <t>Cota promedio:</t>
  </si>
  <si>
    <t>Desnivel total (m):</t>
  </si>
  <si>
    <t>NIVELACIÓN — Método de Altura de Instrumento (HI)</t>
  </si>
  <si>
    <t>Cargar lecturas de mira. La planilla calcula automáticamente la altura del instrumento y la cota de cada punto. Incluye compensación de error de cierre.</t>
  </si>
  <si>
    <t>Distancia total (m):</t>
  </si>
  <si>
    <t>BM inicial — Punto:</t>
  </si>
  <si>
    <t>Cota BM (m):</t>
  </si>
  <si>
    <t>BM cierre — Punto:</t>
  </si>
  <si>
    <t>Cota cierre teórica (m):</t>
  </si>
  <si>
    <t>Error de cierre (m):</t>
  </si>
  <si>
    <t>Suma L. Atrás:</t>
  </si>
  <si>
    <t>Distancia (m)</t>
  </si>
  <si>
    <t>L. Atrás (+)</t>
  </si>
  <si>
    <t>L. Intermedia</t>
  </si>
  <si>
    <t>L. Adelante (−)</t>
  </si>
  <si>
    <t>Altura Instr. HI (m)</t>
  </si>
  <si>
    <t>Cota calculada (m)</t>
  </si>
  <si>
    <t>Corrección (m)</t>
  </si>
  <si>
    <t>Σ L. Adelante (cambios):</t>
  </si>
  <si>
    <t>Verificación ΣA − ΣAd:</t>
  </si>
  <si>
    <t>Tolerancia (mm) [±k·√L]:</t>
  </si>
  <si>
    <t>Tolerancia calculada (m):</t>
  </si>
  <si>
    <t>¿Cumple tolerancia?</t>
  </si>
  <si>
    <t>P4</t>
  </si>
  <si>
    <t>Cambio de estación</t>
  </si>
  <si>
    <t>Cierre</t>
  </si>
  <si>
    <t>NIVELACIÓN — Método de Diferencias (±)</t>
  </si>
  <si>
    <t>Método por diferencias de lecturas. Δh = L.Atrás − L.Adelante. Cota_{i} = Cota_{i-1} + Δh. Incluye compensación proporcional a distancias.</t>
  </si>
  <si>
    <t>BM inicial:</t>
  </si>
  <si>
    <t>Estación</t>
  </si>
  <si>
    <t>Punto adelante</t>
  </si>
  <si>
    <t>L. Atrás (m)</t>
  </si>
  <si>
    <t>L. Adelante (m)</t>
  </si>
  <si>
    <t>Δh = A − Ad (m)</t>
  </si>
  <si>
    <t>Cota compensada (m)</t>
  </si>
  <si>
    <t>RESUMEN DE PUNTOS RELEVADOS</t>
  </si>
  <si>
    <t>Consolidación automática de puntos exportables a CAD/BIM. Compilado desde ET Polar, ET Rectangular y Nivelaciones.</t>
  </si>
  <si>
    <t>Norte Y</t>
  </si>
  <si>
    <t>Este X</t>
  </si>
  <si>
    <t>Cota Z</t>
  </si>
  <si>
    <t>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</si>
</sst>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sz val="10"/>
      <color rgb="FF9C0006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i/>
      <sz val="9"/>
      <color rgb="FF806000"/>
      <name val="Arial"/>
    </font>
    <font>
      <b/>
      <sz val="14"/>
      <color rgb="FF1F4E78"/>
      <name val="Arial"/>
      <family val="2"/>
    </font>
    <font>
      <i/>
      <sz val="9"/>
      <color rgb="FF806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Protection="1">
      <protection locked="0"/>
    </xf>
    <xf numFmtId="0" fontId="5" fillId="3" borderId="1" xfId="0" applyFont="1" applyFill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165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Protection="1"/>
    <xf numFmtId="0" fontId="7" fillId="5" borderId="1" xfId="0" applyFont="1" applyFill="1" applyBorder="1" applyAlignment="1" applyProtection="1">
      <alignment horizontal="center" vertical="center" wrapText="1"/>
    </xf>
    <xf numFmtId="164" fontId="7" fillId="5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</xf>
    <xf numFmtId="0" fontId="0" fillId="0" borderId="0" xfId="0" applyProtection="1"/>
    <xf numFmtId="0" fontId="10" fillId="0" borderId="0" xfId="0" applyFont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12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center" wrapText="1"/>
    </xf>
    <xf numFmtId="164" fontId="5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wrapText="1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164" fontId="4" fillId="5" borderId="1" xfId="0" applyNumberFormat="1" applyFont="1" applyFill="1" applyBorder="1" applyAlignment="1" applyProtection="1">
      <alignment horizontal="left" vertical="center" wrapText="1"/>
    </xf>
    <xf numFmtId="164" fontId="4" fillId="3" borderId="1" xfId="0" applyNumberFormat="1" applyFont="1" applyFill="1" applyBorder="1" applyAlignment="1" applyProtection="1">
      <alignment horizontal="left" vertical="center" wrapText="1"/>
    </xf>
    <xf numFmtId="165" fontId="7" fillId="5" borderId="1" xfId="0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</xf>
    <xf numFmtId="0" fontId="0" fillId="0" borderId="5" xfId="0" applyBorder="1" applyProtection="1"/>
    <xf numFmtId="1" fontId="7" fillId="5" borderId="1" xfId="0" applyNumberFormat="1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 applyProtection="1">
      <alignment horizontal="left" vertical="center" wrapText="1"/>
      <protection locked="0"/>
    </xf>
    <xf numFmtId="0" fontId="3" fillId="2" borderId="9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B22" sqref="B22:F22"/>
    </sheetView>
  </sheetViews>
  <sheetFormatPr baseColWidth="10" defaultColWidth="9.140625" defaultRowHeight="15" x14ac:dyDescent="0.25"/>
  <cols>
    <col min="1" max="1" width="38" style="10" customWidth="1"/>
    <col min="2" max="4" width="18" style="10" customWidth="1"/>
    <col min="5" max="6" width="22" style="10" customWidth="1"/>
    <col min="7" max="16384" width="9.140625" style="10"/>
  </cols>
  <sheetData>
    <row r="1" spans="1:6" x14ac:dyDescent="0.25">
      <c r="A1" s="8" t="s">
        <v>0</v>
      </c>
      <c r="B1" s="9"/>
      <c r="C1" s="9"/>
      <c r="D1" s="9"/>
      <c r="E1" s="9"/>
      <c r="F1" s="9"/>
    </row>
    <row r="2" spans="1:6" x14ac:dyDescent="0.25">
      <c r="A2" s="11" t="s">
        <v>1</v>
      </c>
      <c r="B2" s="9"/>
      <c r="C2" s="9"/>
      <c r="D2" s="9"/>
      <c r="E2" s="9"/>
      <c r="F2" s="9"/>
    </row>
    <row r="4" spans="1:6" x14ac:dyDescent="0.25">
      <c r="A4" s="12" t="s">
        <v>2</v>
      </c>
      <c r="B4" s="13"/>
      <c r="C4" s="13"/>
      <c r="D4" s="13"/>
      <c r="E4" s="13"/>
      <c r="F4" s="14"/>
    </row>
    <row r="5" spans="1:6" x14ac:dyDescent="0.25">
      <c r="A5" s="15" t="s">
        <v>3</v>
      </c>
      <c r="B5" s="16"/>
      <c r="C5" s="13"/>
      <c r="D5" s="13"/>
      <c r="E5" s="13"/>
      <c r="F5" s="14"/>
    </row>
    <row r="6" spans="1:6" x14ac:dyDescent="0.25">
      <c r="A6" s="15" t="s">
        <v>4</v>
      </c>
      <c r="B6" s="16"/>
      <c r="C6" s="13"/>
      <c r="D6" s="13"/>
      <c r="E6" s="13"/>
      <c r="F6" s="14"/>
    </row>
    <row r="7" spans="1:6" x14ac:dyDescent="0.25">
      <c r="A7" s="15" t="s">
        <v>5</v>
      </c>
      <c r="B7" s="16"/>
      <c r="C7" s="13"/>
      <c r="D7" s="13"/>
      <c r="E7" s="13"/>
      <c r="F7" s="14"/>
    </row>
    <row r="8" spans="1:6" x14ac:dyDescent="0.25">
      <c r="A8" s="15" t="s">
        <v>6</v>
      </c>
      <c r="B8" s="16"/>
      <c r="C8" s="13"/>
      <c r="D8" s="13"/>
      <c r="E8" s="13"/>
      <c r="F8" s="14"/>
    </row>
    <row r="9" spans="1:6" x14ac:dyDescent="0.25">
      <c r="A9" s="15" t="s">
        <v>7</v>
      </c>
      <c r="B9" s="16"/>
      <c r="C9" s="13"/>
      <c r="D9" s="13"/>
      <c r="E9" s="13"/>
      <c r="F9" s="14"/>
    </row>
    <row r="11" spans="1:6" x14ac:dyDescent="0.25">
      <c r="A11" s="12" t="s">
        <v>8</v>
      </c>
      <c r="B11" s="13"/>
      <c r="C11" s="13"/>
      <c r="D11" s="13"/>
      <c r="E11" s="13"/>
      <c r="F11" s="14"/>
    </row>
    <row r="12" spans="1:6" x14ac:dyDescent="0.25">
      <c r="A12" s="15" t="s">
        <v>9</v>
      </c>
      <c r="B12" s="16"/>
      <c r="C12" s="13"/>
      <c r="D12" s="13"/>
      <c r="E12" s="13"/>
      <c r="F12" s="14"/>
    </row>
    <row r="13" spans="1:6" x14ac:dyDescent="0.25">
      <c r="A13" s="15" t="s">
        <v>10</v>
      </c>
      <c r="B13" s="16"/>
      <c r="C13" s="13"/>
      <c r="D13" s="13"/>
      <c r="E13" s="13"/>
      <c r="F13" s="14"/>
    </row>
    <row r="14" spans="1:6" x14ac:dyDescent="0.25">
      <c r="A14" s="15" t="s">
        <v>11</v>
      </c>
      <c r="B14" s="16"/>
      <c r="C14" s="13"/>
      <c r="D14" s="13"/>
      <c r="E14" s="13"/>
      <c r="F14" s="14"/>
    </row>
    <row r="15" spans="1:6" x14ac:dyDescent="0.25">
      <c r="A15" s="15" t="s">
        <v>12</v>
      </c>
      <c r="B15" s="16"/>
      <c r="C15" s="13"/>
      <c r="D15" s="13"/>
      <c r="E15" s="13"/>
      <c r="F15" s="14"/>
    </row>
    <row r="16" spans="1:6" x14ac:dyDescent="0.25">
      <c r="A16" s="15" t="s">
        <v>13</v>
      </c>
      <c r="B16" s="16"/>
      <c r="C16" s="13"/>
      <c r="D16" s="13"/>
      <c r="E16" s="13"/>
      <c r="F16" s="14"/>
    </row>
    <row r="17" spans="1:6" x14ac:dyDescent="0.25">
      <c r="A17" s="15" t="s">
        <v>14</v>
      </c>
      <c r="B17" s="16"/>
      <c r="C17" s="13"/>
      <c r="D17" s="13"/>
      <c r="E17" s="13"/>
      <c r="F17" s="14"/>
    </row>
    <row r="19" spans="1:6" x14ac:dyDescent="0.25">
      <c r="A19" s="12" t="s">
        <v>15</v>
      </c>
      <c r="B19" s="13"/>
      <c r="C19" s="13"/>
      <c r="D19" s="13"/>
      <c r="E19" s="13"/>
      <c r="F19" s="14"/>
    </row>
    <row r="20" spans="1:6" x14ac:dyDescent="0.25">
      <c r="A20" s="15" t="s">
        <v>9</v>
      </c>
      <c r="B20" s="16"/>
      <c r="C20" s="13"/>
      <c r="D20" s="13"/>
      <c r="E20" s="13"/>
      <c r="F20" s="14"/>
    </row>
    <row r="21" spans="1:6" x14ac:dyDescent="0.25">
      <c r="A21" s="15" t="s">
        <v>10</v>
      </c>
      <c r="B21" s="16"/>
      <c r="C21" s="13"/>
      <c r="D21" s="13"/>
      <c r="E21" s="13"/>
      <c r="F21" s="14"/>
    </row>
    <row r="22" spans="1:6" x14ac:dyDescent="0.25">
      <c r="A22" s="15" t="s">
        <v>16</v>
      </c>
      <c r="B22" s="16"/>
      <c r="C22" s="13"/>
      <c r="D22" s="13"/>
      <c r="E22" s="13"/>
      <c r="F22" s="14"/>
    </row>
    <row r="23" spans="1:6" x14ac:dyDescent="0.25">
      <c r="A23" s="15" t="s">
        <v>17</v>
      </c>
      <c r="B23" s="16"/>
      <c r="C23" s="13"/>
      <c r="D23" s="13"/>
      <c r="E23" s="13"/>
      <c r="F23" s="14"/>
    </row>
    <row r="24" spans="1:6" x14ac:dyDescent="0.25">
      <c r="A24" s="15" t="s">
        <v>18</v>
      </c>
      <c r="B24" s="16"/>
      <c r="C24" s="13"/>
      <c r="D24" s="13"/>
      <c r="E24" s="13"/>
      <c r="F24" s="14"/>
    </row>
    <row r="26" spans="1:6" x14ac:dyDescent="0.25">
      <c r="A26" s="12" t="s">
        <v>19</v>
      </c>
      <c r="B26" s="13"/>
      <c r="C26" s="13"/>
      <c r="D26" s="13"/>
      <c r="E26" s="13"/>
      <c r="F26" s="14"/>
    </row>
    <row r="27" spans="1:6" x14ac:dyDescent="0.25">
      <c r="A27" s="17" t="s">
        <v>20</v>
      </c>
      <c r="B27" s="17" t="s">
        <v>21</v>
      </c>
      <c r="C27" s="17" t="s">
        <v>22</v>
      </c>
      <c r="D27" s="17" t="s">
        <v>23</v>
      </c>
      <c r="E27" s="17" t="s">
        <v>24</v>
      </c>
      <c r="F27" s="17" t="s">
        <v>25</v>
      </c>
    </row>
    <row r="28" spans="1:6" x14ac:dyDescent="0.25">
      <c r="A28" s="18"/>
      <c r="B28" s="18"/>
      <c r="C28" s="18"/>
      <c r="D28" s="18"/>
      <c r="E28" s="18"/>
      <c r="F28" s="18"/>
    </row>
    <row r="31" spans="1:6" x14ac:dyDescent="0.25">
      <c r="A31" s="12" t="s">
        <v>26</v>
      </c>
      <c r="B31" s="13"/>
      <c r="C31" s="13"/>
      <c r="D31" s="13"/>
      <c r="E31" s="13"/>
      <c r="F31" s="14"/>
    </row>
    <row r="32" spans="1:6" x14ac:dyDescent="0.25">
      <c r="A32" s="16" t="s">
        <v>27</v>
      </c>
      <c r="B32" s="13"/>
      <c r="C32" s="13"/>
      <c r="D32" s="13"/>
      <c r="E32" s="13"/>
      <c r="F32" s="14"/>
    </row>
    <row r="33" spans="1:6" x14ac:dyDescent="0.25">
      <c r="A33" s="19" t="s">
        <v>28</v>
      </c>
      <c r="B33" s="13"/>
      <c r="C33" s="13"/>
      <c r="D33" s="13"/>
      <c r="E33" s="13"/>
      <c r="F33" s="14"/>
    </row>
    <row r="34" spans="1:6" x14ac:dyDescent="0.25">
      <c r="A34" s="20" t="s">
        <v>29</v>
      </c>
      <c r="B34" s="13"/>
      <c r="C34" s="13"/>
      <c r="D34" s="13"/>
      <c r="E34" s="13"/>
      <c r="F34" s="14"/>
    </row>
    <row r="35" spans="1:6" x14ac:dyDescent="0.25">
      <c r="A35" s="21" t="s">
        <v>30</v>
      </c>
      <c r="B35" s="13"/>
      <c r="C35" s="13"/>
      <c r="D35" s="13"/>
      <c r="E35" s="13"/>
      <c r="F35" s="14"/>
    </row>
    <row r="38" spans="1:6" x14ac:dyDescent="0.25">
      <c r="A38" s="22" t="s">
        <v>31</v>
      </c>
    </row>
    <row r="39" spans="1:6" x14ac:dyDescent="0.25">
      <c r="A39" s="23"/>
      <c r="B39" s="24"/>
      <c r="C39" s="24"/>
      <c r="D39" s="24"/>
      <c r="E39" s="24"/>
      <c r="F39" s="25"/>
    </row>
    <row r="40" spans="1:6" x14ac:dyDescent="0.25">
      <c r="A40" s="26"/>
      <c r="B40" s="9"/>
      <c r="C40" s="9"/>
      <c r="D40" s="9"/>
      <c r="E40" s="9"/>
      <c r="F40" s="27"/>
    </row>
    <row r="41" spans="1:6" x14ac:dyDescent="0.25">
      <c r="A41" s="26"/>
      <c r="B41" s="9"/>
      <c r="C41" s="9"/>
      <c r="D41" s="9"/>
      <c r="E41" s="9"/>
      <c r="F41" s="27"/>
    </row>
    <row r="42" spans="1:6" x14ac:dyDescent="0.25">
      <c r="A42" s="26"/>
      <c r="B42" s="9"/>
      <c r="C42" s="9"/>
      <c r="D42" s="9"/>
      <c r="E42" s="9"/>
      <c r="F42" s="27"/>
    </row>
    <row r="43" spans="1:6" x14ac:dyDescent="0.25">
      <c r="A43" s="26"/>
      <c r="B43" s="9"/>
      <c r="C43" s="9"/>
      <c r="D43" s="9"/>
      <c r="E43" s="9"/>
      <c r="F43" s="27"/>
    </row>
    <row r="44" spans="1:6" x14ac:dyDescent="0.25">
      <c r="A44" s="28"/>
      <c r="B44" s="29"/>
      <c r="C44" s="29"/>
      <c r="D44" s="29"/>
      <c r="E44" s="29"/>
      <c r="F44" s="30"/>
    </row>
  </sheetData>
  <mergeCells count="28">
    <mergeCell ref="A1:F1"/>
    <mergeCell ref="B5:F5"/>
    <mergeCell ref="A35:F35"/>
    <mergeCell ref="A4:F4"/>
    <mergeCell ref="B14:F14"/>
    <mergeCell ref="B8:F8"/>
    <mergeCell ref="A39:F44"/>
    <mergeCell ref="B17:F17"/>
    <mergeCell ref="B13:F13"/>
    <mergeCell ref="A19:F19"/>
    <mergeCell ref="A31:F31"/>
    <mergeCell ref="A34:F34"/>
    <mergeCell ref="B9:F9"/>
    <mergeCell ref="A11:F11"/>
    <mergeCell ref="B6:F6"/>
    <mergeCell ref="B24:F24"/>
    <mergeCell ref="B20:F20"/>
    <mergeCell ref="B15:F15"/>
    <mergeCell ref="A2:F2"/>
    <mergeCell ref="A33:F33"/>
    <mergeCell ref="B12:F12"/>
    <mergeCell ref="A32:F32"/>
    <mergeCell ref="B23:F23"/>
    <mergeCell ref="B7:F7"/>
    <mergeCell ref="B16:F16"/>
    <mergeCell ref="B22:F22"/>
    <mergeCell ref="A26:F26"/>
    <mergeCell ref="B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xSplit="2" ySplit="6" topLeftCell="C82" activePane="bottomRight" state="frozen"/>
      <selection pane="topRight"/>
      <selection pane="bottomLeft"/>
      <selection pane="bottomRight" activeCell="D4" sqref="D4"/>
    </sheetView>
  </sheetViews>
  <sheetFormatPr baseColWidth="10" defaultColWidth="9.140625" defaultRowHeight="15" x14ac:dyDescent="0.25"/>
  <cols>
    <col min="1" max="1" width="6" style="10" customWidth="1"/>
    <col min="2" max="2" width="12" style="10" customWidth="1"/>
    <col min="3" max="5" width="16" style="10" customWidth="1"/>
    <col min="6" max="6" width="14" style="10" customWidth="1"/>
    <col min="7" max="11" width="14" style="41" customWidth="1"/>
    <col min="12" max="13" width="14" style="10" customWidth="1"/>
    <col min="14" max="14" width="22" style="10" customWidth="1"/>
    <col min="15" max="16384" width="9.140625" style="10"/>
  </cols>
  <sheetData>
    <row r="1" spans="1:14" ht="15" customHeight="1" x14ac:dyDescent="0.25">
      <c r="G1" s="40" t="s">
        <v>32</v>
      </c>
    </row>
    <row r="2" spans="1:14" ht="15" customHeight="1" x14ac:dyDescent="0.25">
      <c r="G2" s="42" t="s">
        <v>33</v>
      </c>
    </row>
    <row r="4" spans="1:14" x14ac:dyDescent="0.25">
      <c r="A4" s="35" t="s">
        <v>34</v>
      </c>
      <c r="B4" s="36">
        <f>Configuración!A28</f>
        <v>0</v>
      </c>
      <c r="C4" s="35" t="s">
        <v>35</v>
      </c>
      <c r="D4" s="37">
        <f>N_base</f>
        <v>0</v>
      </c>
      <c r="E4" s="35" t="s">
        <v>36</v>
      </c>
      <c r="F4" s="37">
        <f>E_base</f>
        <v>0</v>
      </c>
      <c r="G4" s="35" t="s">
        <v>37</v>
      </c>
      <c r="H4" s="37">
        <f>Z_base</f>
        <v>0</v>
      </c>
      <c r="I4" s="35" t="s">
        <v>38</v>
      </c>
      <c r="J4" s="37">
        <f>hi_ET</f>
        <v>0</v>
      </c>
    </row>
    <row r="6" spans="1:14" ht="42" customHeight="1" x14ac:dyDescent="0.25">
      <c r="A6" s="31" t="s">
        <v>39</v>
      </c>
      <c r="B6" s="31" t="s">
        <v>20</v>
      </c>
      <c r="C6" s="31" t="s">
        <v>40</v>
      </c>
      <c r="D6" s="31" t="s">
        <v>41</v>
      </c>
      <c r="E6" s="31" t="s">
        <v>42</v>
      </c>
      <c r="F6" s="31" t="s">
        <v>43</v>
      </c>
      <c r="G6" s="43" t="s">
        <v>44</v>
      </c>
      <c r="H6" s="43" t="s">
        <v>45</v>
      </c>
      <c r="I6" s="43" t="s">
        <v>46</v>
      </c>
      <c r="J6" s="43" t="s">
        <v>47</v>
      </c>
      <c r="K6" s="43" t="s">
        <v>48</v>
      </c>
      <c r="L6" s="32" t="s">
        <v>49</v>
      </c>
      <c r="M6" s="32" t="s">
        <v>50</v>
      </c>
      <c r="N6" s="32" t="s">
        <v>51</v>
      </c>
    </row>
    <row r="7" spans="1:14" x14ac:dyDescent="0.25">
      <c r="A7" s="18">
        <v>1</v>
      </c>
      <c r="B7" s="18" t="s">
        <v>52</v>
      </c>
      <c r="C7" s="33">
        <v>45.253</v>
      </c>
      <c r="D7" s="33">
        <v>89.5</v>
      </c>
      <c r="E7" s="33">
        <v>25.437000000000001</v>
      </c>
      <c r="F7" s="33">
        <v>1.5</v>
      </c>
      <c r="G7" s="37">
        <f t="shared" ref="G7:G38" si="0">IF(E7="","",E7*SIN(RADIANS(D7)))</f>
        <v>25.436031436983328</v>
      </c>
      <c r="H7" s="37">
        <f t="shared" ref="H7:H38" si="1">IF(E7="","",E7*COS(RADIANS(D7)))</f>
        <v>0.22197688347213682</v>
      </c>
      <c r="I7" s="37">
        <f t="shared" ref="I7:I38" si="2">IF(E7="","",N_base+G7*COS(RADIANS(C7)))</f>
        <v>17.906394794407181</v>
      </c>
      <c r="J7" s="37">
        <f t="shared" ref="J7:J38" si="3">IF(E7="","",E_base+G7*SIN(RADIANS(C7)))</f>
        <v>18.065235141841679</v>
      </c>
      <c r="K7" s="37">
        <f t="shared" ref="K7:K38" si="4">IF(E7="","",Z_base+hi_ET+H7-F7)</f>
        <v>-1.2780231165278633</v>
      </c>
      <c r="L7" s="34"/>
      <c r="M7" s="34"/>
      <c r="N7" s="34"/>
    </row>
    <row r="8" spans="1:14" x14ac:dyDescent="0.25">
      <c r="A8" s="18">
        <v>2</v>
      </c>
      <c r="B8" s="18" t="s">
        <v>53</v>
      </c>
      <c r="C8" s="33">
        <v>92.101500000000001</v>
      </c>
      <c r="D8" s="33">
        <v>91.203299999999999</v>
      </c>
      <c r="E8" s="33">
        <v>42.18</v>
      </c>
      <c r="F8" s="33">
        <v>1.5</v>
      </c>
      <c r="G8" s="37">
        <f t="shared" si="0"/>
        <v>42.170698281642032</v>
      </c>
      <c r="H8" s="37">
        <f t="shared" si="1"/>
        <v>-0.88578013000634404</v>
      </c>
      <c r="I8" s="37">
        <f t="shared" si="2"/>
        <v>-1.5463940680832602</v>
      </c>
      <c r="J8" s="37">
        <f t="shared" si="3"/>
        <v>42.142335708257598</v>
      </c>
      <c r="K8" s="37">
        <f t="shared" si="4"/>
        <v>-2.3857801300063439</v>
      </c>
      <c r="L8" s="34"/>
      <c r="M8" s="34"/>
      <c r="N8" s="34"/>
    </row>
    <row r="9" spans="1:14" x14ac:dyDescent="0.25">
      <c r="A9" s="18">
        <v>3</v>
      </c>
      <c r="B9" s="18" t="s">
        <v>54</v>
      </c>
      <c r="C9" s="33">
        <v>178.45</v>
      </c>
      <c r="D9" s="33">
        <v>88.451499999999996</v>
      </c>
      <c r="E9" s="33">
        <v>60.755000000000003</v>
      </c>
      <c r="F9" s="33"/>
      <c r="G9" s="37">
        <f t="shared" si="0"/>
        <v>60.732812787193289</v>
      </c>
      <c r="H9" s="37">
        <f t="shared" si="1"/>
        <v>1.6417904725426027</v>
      </c>
      <c r="I9" s="37">
        <f t="shared" si="2"/>
        <v>-60.710590689886672</v>
      </c>
      <c r="J9" s="37">
        <f t="shared" si="3"/>
        <v>1.6427803046404712</v>
      </c>
      <c r="K9" s="37">
        <f t="shared" si="4"/>
        <v>1.6417904725426027</v>
      </c>
      <c r="L9" s="34"/>
      <c r="M9" s="34"/>
      <c r="N9" s="34"/>
    </row>
    <row r="10" spans="1:14" x14ac:dyDescent="0.25">
      <c r="A10" s="18">
        <v>4</v>
      </c>
      <c r="B10" s="18"/>
      <c r="C10" s="33"/>
      <c r="D10" s="33"/>
      <c r="E10" s="33"/>
      <c r="F10" s="33"/>
      <c r="G10" s="37" t="str">
        <f t="shared" si="0"/>
        <v/>
      </c>
      <c r="H10" s="37" t="str">
        <f t="shared" si="1"/>
        <v/>
      </c>
      <c r="I10" s="37" t="str">
        <f t="shared" si="2"/>
        <v/>
      </c>
      <c r="J10" s="37" t="str">
        <f t="shared" si="3"/>
        <v/>
      </c>
      <c r="K10" s="37" t="str">
        <f t="shared" si="4"/>
        <v/>
      </c>
      <c r="L10" s="34"/>
      <c r="M10" s="34"/>
      <c r="N10" s="34"/>
    </row>
    <row r="11" spans="1:14" x14ac:dyDescent="0.25">
      <c r="A11" s="18">
        <v>5</v>
      </c>
      <c r="B11" s="18"/>
      <c r="C11" s="33"/>
      <c r="D11" s="33"/>
      <c r="E11" s="33"/>
      <c r="F11" s="33"/>
      <c r="G11" s="37" t="str">
        <f t="shared" si="0"/>
        <v/>
      </c>
      <c r="H11" s="37" t="str">
        <f t="shared" si="1"/>
        <v/>
      </c>
      <c r="I11" s="37" t="str">
        <f t="shared" si="2"/>
        <v/>
      </c>
      <c r="J11" s="37" t="str">
        <f t="shared" si="3"/>
        <v/>
      </c>
      <c r="K11" s="37" t="str">
        <f t="shared" si="4"/>
        <v/>
      </c>
      <c r="L11" s="34"/>
      <c r="M11" s="34"/>
      <c r="N11" s="34"/>
    </row>
    <row r="12" spans="1:14" x14ac:dyDescent="0.25">
      <c r="A12" s="18">
        <v>6</v>
      </c>
      <c r="B12" s="18"/>
      <c r="C12" s="33"/>
      <c r="D12" s="33"/>
      <c r="E12" s="33"/>
      <c r="F12" s="33"/>
      <c r="G12" s="37" t="str">
        <f t="shared" si="0"/>
        <v/>
      </c>
      <c r="H12" s="37" t="str">
        <f t="shared" si="1"/>
        <v/>
      </c>
      <c r="I12" s="37" t="str">
        <f t="shared" si="2"/>
        <v/>
      </c>
      <c r="J12" s="37" t="str">
        <f t="shared" si="3"/>
        <v/>
      </c>
      <c r="K12" s="37" t="str">
        <f t="shared" si="4"/>
        <v/>
      </c>
      <c r="L12" s="34"/>
      <c r="M12" s="34"/>
      <c r="N12" s="34"/>
    </row>
    <row r="13" spans="1:14" x14ac:dyDescent="0.25">
      <c r="A13" s="18">
        <v>7</v>
      </c>
      <c r="B13" s="18"/>
      <c r="C13" s="33"/>
      <c r="D13" s="33"/>
      <c r="E13" s="33"/>
      <c r="F13" s="33"/>
      <c r="G13" s="37" t="str">
        <f t="shared" si="0"/>
        <v/>
      </c>
      <c r="H13" s="37" t="str">
        <f t="shared" si="1"/>
        <v/>
      </c>
      <c r="I13" s="37" t="str">
        <f t="shared" si="2"/>
        <v/>
      </c>
      <c r="J13" s="37" t="str">
        <f t="shared" si="3"/>
        <v/>
      </c>
      <c r="K13" s="37" t="str">
        <f t="shared" si="4"/>
        <v/>
      </c>
      <c r="L13" s="34"/>
      <c r="M13" s="34"/>
      <c r="N13" s="34"/>
    </row>
    <row r="14" spans="1:14" x14ac:dyDescent="0.25">
      <c r="A14" s="18">
        <v>8</v>
      </c>
      <c r="B14" s="18"/>
      <c r="C14" s="33"/>
      <c r="D14" s="33"/>
      <c r="E14" s="33"/>
      <c r="F14" s="33"/>
      <c r="G14" s="37" t="str">
        <f t="shared" si="0"/>
        <v/>
      </c>
      <c r="H14" s="37" t="str">
        <f t="shared" si="1"/>
        <v/>
      </c>
      <c r="I14" s="37" t="str">
        <f t="shared" si="2"/>
        <v/>
      </c>
      <c r="J14" s="37" t="str">
        <f t="shared" si="3"/>
        <v/>
      </c>
      <c r="K14" s="37" t="str">
        <f t="shared" si="4"/>
        <v/>
      </c>
      <c r="L14" s="34"/>
      <c r="M14" s="34"/>
      <c r="N14" s="34"/>
    </row>
    <row r="15" spans="1:14" x14ac:dyDescent="0.25">
      <c r="A15" s="18">
        <v>9</v>
      </c>
      <c r="B15" s="18"/>
      <c r="C15" s="33"/>
      <c r="D15" s="33"/>
      <c r="E15" s="33"/>
      <c r="F15" s="33"/>
      <c r="G15" s="37" t="str">
        <f t="shared" si="0"/>
        <v/>
      </c>
      <c r="H15" s="37" t="str">
        <f t="shared" si="1"/>
        <v/>
      </c>
      <c r="I15" s="37" t="str">
        <f t="shared" si="2"/>
        <v/>
      </c>
      <c r="J15" s="37" t="str">
        <f t="shared" si="3"/>
        <v/>
      </c>
      <c r="K15" s="37" t="str">
        <f t="shared" si="4"/>
        <v/>
      </c>
      <c r="L15" s="34"/>
      <c r="M15" s="34"/>
      <c r="N15" s="34"/>
    </row>
    <row r="16" spans="1:14" x14ac:dyDescent="0.25">
      <c r="A16" s="18">
        <v>10</v>
      </c>
      <c r="B16" s="18"/>
      <c r="C16" s="33"/>
      <c r="D16" s="33"/>
      <c r="E16" s="33"/>
      <c r="F16" s="33"/>
      <c r="G16" s="37" t="str">
        <f t="shared" si="0"/>
        <v/>
      </c>
      <c r="H16" s="37" t="str">
        <f t="shared" si="1"/>
        <v/>
      </c>
      <c r="I16" s="37" t="str">
        <f t="shared" si="2"/>
        <v/>
      </c>
      <c r="J16" s="37" t="str">
        <f t="shared" si="3"/>
        <v/>
      </c>
      <c r="K16" s="37" t="str">
        <f t="shared" si="4"/>
        <v/>
      </c>
      <c r="L16" s="34"/>
      <c r="M16" s="34"/>
      <c r="N16" s="34"/>
    </row>
    <row r="17" spans="1:14" x14ac:dyDescent="0.25">
      <c r="A17" s="18">
        <v>11</v>
      </c>
      <c r="B17" s="18"/>
      <c r="C17" s="33"/>
      <c r="D17" s="33"/>
      <c r="E17" s="33"/>
      <c r="F17" s="33"/>
      <c r="G17" s="37" t="str">
        <f t="shared" si="0"/>
        <v/>
      </c>
      <c r="H17" s="37" t="str">
        <f t="shared" si="1"/>
        <v/>
      </c>
      <c r="I17" s="37" t="str">
        <f t="shared" si="2"/>
        <v/>
      </c>
      <c r="J17" s="37" t="str">
        <f t="shared" si="3"/>
        <v/>
      </c>
      <c r="K17" s="37" t="str">
        <f t="shared" si="4"/>
        <v/>
      </c>
      <c r="L17" s="34"/>
      <c r="M17" s="34"/>
      <c r="N17" s="34"/>
    </row>
    <row r="18" spans="1:14" x14ac:dyDescent="0.25">
      <c r="A18" s="18">
        <v>12</v>
      </c>
      <c r="B18" s="18"/>
      <c r="C18" s="33"/>
      <c r="D18" s="33"/>
      <c r="E18" s="33"/>
      <c r="F18" s="33"/>
      <c r="G18" s="37" t="str">
        <f t="shared" si="0"/>
        <v/>
      </c>
      <c r="H18" s="37" t="str">
        <f t="shared" si="1"/>
        <v/>
      </c>
      <c r="I18" s="37" t="str">
        <f t="shared" si="2"/>
        <v/>
      </c>
      <c r="J18" s="37" t="str">
        <f t="shared" si="3"/>
        <v/>
      </c>
      <c r="K18" s="37" t="str">
        <f t="shared" si="4"/>
        <v/>
      </c>
      <c r="L18" s="34"/>
      <c r="M18" s="34"/>
      <c r="N18" s="34"/>
    </row>
    <row r="19" spans="1:14" x14ac:dyDescent="0.25">
      <c r="A19" s="18">
        <v>13</v>
      </c>
      <c r="B19" s="18"/>
      <c r="C19" s="33"/>
      <c r="D19" s="33"/>
      <c r="E19" s="33"/>
      <c r="F19" s="33"/>
      <c r="G19" s="37" t="str">
        <f t="shared" si="0"/>
        <v/>
      </c>
      <c r="H19" s="37" t="str">
        <f t="shared" si="1"/>
        <v/>
      </c>
      <c r="I19" s="37" t="str">
        <f t="shared" si="2"/>
        <v/>
      </c>
      <c r="J19" s="37" t="str">
        <f t="shared" si="3"/>
        <v/>
      </c>
      <c r="K19" s="37" t="str">
        <f t="shared" si="4"/>
        <v/>
      </c>
      <c r="L19" s="34"/>
      <c r="M19" s="34"/>
      <c r="N19" s="34"/>
    </row>
    <row r="20" spans="1:14" x14ac:dyDescent="0.25">
      <c r="A20" s="18">
        <v>14</v>
      </c>
      <c r="B20" s="18"/>
      <c r="C20" s="33"/>
      <c r="D20" s="33"/>
      <c r="E20" s="33"/>
      <c r="F20" s="33"/>
      <c r="G20" s="37" t="str">
        <f t="shared" si="0"/>
        <v/>
      </c>
      <c r="H20" s="37" t="str">
        <f t="shared" si="1"/>
        <v/>
      </c>
      <c r="I20" s="37" t="str">
        <f t="shared" si="2"/>
        <v/>
      </c>
      <c r="J20" s="37" t="str">
        <f t="shared" si="3"/>
        <v/>
      </c>
      <c r="K20" s="37" t="str">
        <f t="shared" si="4"/>
        <v/>
      </c>
      <c r="L20" s="34"/>
      <c r="M20" s="34"/>
      <c r="N20" s="34"/>
    </row>
    <row r="21" spans="1:14" x14ac:dyDescent="0.25">
      <c r="A21" s="18">
        <v>15</v>
      </c>
      <c r="B21" s="18"/>
      <c r="C21" s="33"/>
      <c r="D21" s="33"/>
      <c r="E21" s="33"/>
      <c r="F21" s="33"/>
      <c r="G21" s="37" t="str">
        <f t="shared" si="0"/>
        <v/>
      </c>
      <c r="H21" s="37" t="str">
        <f t="shared" si="1"/>
        <v/>
      </c>
      <c r="I21" s="37" t="str">
        <f t="shared" si="2"/>
        <v/>
      </c>
      <c r="J21" s="37" t="str">
        <f t="shared" si="3"/>
        <v/>
      </c>
      <c r="K21" s="37" t="str">
        <f t="shared" si="4"/>
        <v/>
      </c>
      <c r="L21" s="34"/>
      <c r="M21" s="34"/>
      <c r="N21" s="34"/>
    </row>
    <row r="22" spans="1:14" x14ac:dyDescent="0.25">
      <c r="A22" s="18">
        <v>16</v>
      </c>
      <c r="B22" s="18"/>
      <c r="C22" s="33"/>
      <c r="D22" s="33"/>
      <c r="E22" s="33"/>
      <c r="F22" s="33"/>
      <c r="G22" s="37" t="str">
        <f t="shared" si="0"/>
        <v/>
      </c>
      <c r="H22" s="37" t="str">
        <f t="shared" si="1"/>
        <v/>
      </c>
      <c r="I22" s="37" t="str">
        <f t="shared" si="2"/>
        <v/>
      </c>
      <c r="J22" s="37" t="str">
        <f t="shared" si="3"/>
        <v/>
      </c>
      <c r="K22" s="37" t="str">
        <f t="shared" si="4"/>
        <v/>
      </c>
      <c r="L22" s="34"/>
      <c r="M22" s="34"/>
      <c r="N22" s="34"/>
    </row>
    <row r="23" spans="1:14" x14ac:dyDescent="0.25">
      <c r="A23" s="18">
        <v>17</v>
      </c>
      <c r="B23" s="18"/>
      <c r="C23" s="33"/>
      <c r="D23" s="33"/>
      <c r="E23" s="33"/>
      <c r="F23" s="33"/>
      <c r="G23" s="37" t="str">
        <f t="shared" si="0"/>
        <v/>
      </c>
      <c r="H23" s="37" t="str">
        <f t="shared" si="1"/>
        <v/>
      </c>
      <c r="I23" s="37" t="str">
        <f t="shared" si="2"/>
        <v/>
      </c>
      <c r="J23" s="37" t="str">
        <f t="shared" si="3"/>
        <v/>
      </c>
      <c r="K23" s="37" t="str">
        <f t="shared" si="4"/>
        <v/>
      </c>
      <c r="L23" s="34"/>
      <c r="M23" s="34"/>
      <c r="N23" s="34"/>
    </row>
    <row r="24" spans="1:14" x14ac:dyDescent="0.25">
      <c r="A24" s="18">
        <v>18</v>
      </c>
      <c r="B24" s="18"/>
      <c r="C24" s="33"/>
      <c r="D24" s="33"/>
      <c r="E24" s="33"/>
      <c r="F24" s="33"/>
      <c r="G24" s="37" t="str">
        <f t="shared" si="0"/>
        <v/>
      </c>
      <c r="H24" s="37" t="str">
        <f t="shared" si="1"/>
        <v/>
      </c>
      <c r="I24" s="37" t="str">
        <f t="shared" si="2"/>
        <v/>
      </c>
      <c r="J24" s="37" t="str">
        <f t="shared" si="3"/>
        <v/>
      </c>
      <c r="K24" s="37" t="str">
        <f t="shared" si="4"/>
        <v/>
      </c>
      <c r="L24" s="34"/>
      <c r="M24" s="34"/>
      <c r="N24" s="34"/>
    </row>
    <row r="25" spans="1:14" x14ac:dyDescent="0.25">
      <c r="A25" s="18">
        <v>19</v>
      </c>
      <c r="B25" s="18"/>
      <c r="C25" s="33"/>
      <c r="D25" s="33"/>
      <c r="E25" s="33"/>
      <c r="F25" s="33"/>
      <c r="G25" s="37" t="str">
        <f t="shared" si="0"/>
        <v/>
      </c>
      <c r="H25" s="37" t="str">
        <f t="shared" si="1"/>
        <v/>
      </c>
      <c r="I25" s="37" t="str">
        <f t="shared" si="2"/>
        <v/>
      </c>
      <c r="J25" s="37" t="str">
        <f t="shared" si="3"/>
        <v/>
      </c>
      <c r="K25" s="37" t="str">
        <f t="shared" si="4"/>
        <v/>
      </c>
      <c r="L25" s="34"/>
      <c r="M25" s="34"/>
      <c r="N25" s="34"/>
    </row>
    <row r="26" spans="1:14" x14ac:dyDescent="0.25">
      <c r="A26" s="18">
        <v>20</v>
      </c>
      <c r="B26" s="18"/>
      <c r="C26" s="33"/>
      <c r="D26" s="33"/>
      <c r="E26" s="33"/>
      <c r="F26" s="33"/>
      <c r="G26" s="37" t="str">
        <f t="shared" si="0"/>
        <v/>
      </c>
      <c r="H26" s="37" t="str">
        <f t="shared" si="1"/>
        <v/>
      </c>
      <c r="I26" s="37" t="str">
        <f t="shared" si="2"/>
        <v/>
      </c>
      <c r="J26" s="37" t="str">
        <f t="shared" si="3"/>
        <v/>
      </c>
      <c r="K26" s="37" t="str">
        <f t="shared" si="4"/>
        <v/>
      </c>
      <c r="L26" s="34"/>
      <c r="M26" s="34"/>
      <c r="N26" s="34"/>
    </row>
    <row r="27" spans="1:14" x14ac:dyDescent="0.25">
      <c r="A27" s="18">
        <v>21</v>
      </c>
      <c r="B27" s="18"/>
      <c r="C27" s="33"/>
      <c r="D27" s="33"/>
      <c r="E27" s="33"/>
      <c r="F27" s="33"/>
      <c r="G27" s="37" t="str">
        <f t="shared" si="0"/>
        <v/>
      </c>
      <c r="H27" s="37" t="str">
        <f t="shared" si="1"/>
        <v/>
      </c>
      <c r="I27" s="37" t="str">
        <f t="shared" si="2"/>
        <v/>
      </c>
      <c r="J27" s="37" t="str">
        <f t="shared" si="3"/>
        <v/>
      </c>
      <c r="K27" s="37" t="str">
        <f t="shared" si="4"/>
        <v/>
      </c>
      <c r="L27" s="34"/>
      <c r="M27" s="34"/>
      <c r="N27" s="34"/>
    </row>
    <row r="28" spans="1:14" x14ac:dyDescent="0.25">
      <c r="A28" s="18">
        <v>22</v>
      </c>
      <c r="B28" s="18"/>
      <c r="C28" s="33"/>
      <c r="D28" s="33"/>
      <c r="E28" s="33"/>
      <c r="F28" s="33"/>
      <c r="G28" s="37" t="str">
        <f t="shared" si="0"/>
        <v/>
      </c>
      <c r="H28" s="37" t="str">
        <f t="shared" si="1"/>
        <v/>
      </c>
      <c r="I28" s="37" t="str">
        <f t="shared" si="2"/>
        <v/>
      </c>
      <c r="J28" s="37" t="str">
        <f t="shared" si="3"/>
        <v/>
      </c>
      <c r="K28" s="37" t="str">
        <f t="shared" si="4"/>
        <v/>
      </c>
      <c r="L28" s="34"/>
      <c r="M28" s="34"/>
      <c r="N28" s="34"/>
    </row>
    <row r="29" spans="1:14" x14ac:dyDescent="0.25">
      <c r="A29" s="18">
        <v>23</v>
      </c>
      <c r="B29" s="18"/>
      <c r="C29" s="33"/>
      <c r="D29" s="33"/>
      <c r="E29" s="33"/>
      <c r="F29" s="33"/>
      <c r="G29" s="37" t="str">
        <f t="shared" si="0"/>
        <v/>
      </c>
      <c r="H29" s="37" t="str">
        <f t="shared" si="1"/>
        <v/>
      </c>
      <c r="I29" s="37" t="str">
        <f t="shared" si="2"/>
        <v/>
      </c>
      <c r="J29" s="37" t="str">
        <f t="shared" si="3"/>
        <v/>
      </c>
      <c r="K29" s="37" t="str">
        <f t="shared" si="4"/>
        <v/>
      </c>
      <c r="L29" s="34"/>
      <c r="M29" s="34"/>
      <c r="N29" s="34"/>
    </row>
    <row r="30" spans="1:14" x14ac:dyDescent="0.25">
      <c r="A30" s="18">
        <v>24</v>
      </c>
      <c r="B30" s="18"/>
      <c r="C30" s="33"/>
      <c r="D30" s="33"/>
      <c r="E30" s="33"/>
      <c r="F30" s="33"/>
      <c r="G30" s="37" t="str">
        <f t="shared" si="0"/>
        <v/>
      </c>
      <c r="H30" s="37" t="str">
        <f t="shared" si="1"/>
        <v/>
      </c>
      <c r="I30" s="37" t="str">
        <f t="shared" si="2"/>
        <v/>
      </c>
      <c r="J30" s="37" t="str">
        <f t="shared" si="3"/>
        <v/>
      </c>
      <c r="K30" s="37" t="str">
        <f t="shared" si="4"/>
        <v/>
      </c>
      <c r="L30" s="34"/>
      <c r="M30" s="34"/>
      <c r="N30" s="34"/>
    </row>
    <row r="31" spans="1:14" x14ac:dyDescent="0.25">
      <c r="A31" s="18">
        <v>25</v>
      </c>
      <c r="B31" s="18"/>
      <c r="C31" s="33"/>
      <c r="D31" s="33"/>
      <c r="E31" s="33"/>
      <c r="F31" s="33"/>
      <c r="G31" s="37" t="str">
        <f t="shared" si="0"/>
        <v/>
      </c>
      <c r="H31" s="37" t="str">
        <f t="shared" si="1"/>
        <v/>
      </c>
      <c r="I31" s="37" t="str">
        <f t="shared" si="2"/>
        <v/>
      </c>
      <c r="J31" s="37" t="str">
        <f t="shared" si="3"/>
        <v/>
      </c>
      <c r="K31" s="37" t="str">
        <f t="shared" si="4"/>
        <v/>
      </c>
      <c r="L31" s="34"/>
      <c r="M31" s="34"/>
      <c r="N31" s="34"/>
    </row>
    <row r="32" spans="1:14" x14ac:dyDescent="0.25">
      <c r="A32" s="18">
        <v>26</v>
      </c>
      <c r="B32" s="18"/>
      <c r="C32" s="33"/>
      <c r="D32" s="33"/>
      <c r="E32" s="33"/>
      <c r="F32" s="33"/>
      <c r="G32" s="37" t="str">
        <f t="shared" si="0"/>
        <v/>
      </c>
      <c r="H32" s="37" t="str">
        <f t="shared" si="1"/>
        <v/>
      </c>
      <c r="I32" s="37" t="str">
        <f t="shared" si="2"/>
        <v/>
      </c>
      <c r="J32" s="37" t="str">
        <f t="shared" si="3"/>
        <v/>
      </c>
      <c r="K32" s="37" t="str">
        <f t="shared" si="4"/>
        <v/>
      </c>
      <c r="L32" s="34"/>
      <c r="M32" s="34"/>
      <c r="N32" s="34"/>
    </row>
    <row r="33" spans="1:14" x14ac:dyDescent="0.25">
      <c r="A33" s="18">
        <v>27</v>
      </c>
      <c r="B33" s="18"/>
      <c r="C33" s="33"/>
      <c r="D33" s="33"/>
      <c r="E33" s="33"/>
      <c r="F33" s="33"/>
      <c r="G33" s="37" t="str">
        <f t="shared" si="0"/>
        <v/>
      </c>
      <c r="H33" s="37" t="str">
        <f t="shared" si="1"/>
        <v/>
      </c>
      <c r="I33" s="37" t="str">
        <f t="shared" si="2"/>
        <v/>
      </c>
      <c r="J33" s="37" t="str">
        <f t="shared" si="3"/>
        <v/>
      </c>
      <c r="K33" s="37" t="str">
        <f t="shared" si="4"/>
        <v/>
      </c>
      <c r="L33" s="34"/>
      <c r="M33" s="34"/>
      <c r="N33" s="34"/>
    </row>
    <row r="34" spans="1:14" x14ac:dyDescent="0.25">
      <c r="A34" s="18">
        <v>28</v>
      </c>
      <c r="B34" s="18"/>
      <c r="C34" s="33"/>
      <c r="D34" s="33"/>
      <c r="E34" s="33"/>
      <c r="F34" s="33"/>
      <c r="G34" s="37" t="str">
        <f t="shared" si="0"/>
        <v/>
      </c>
      <c r="H34" s="37" t="str">
        <f t="shared" si="1"/>
        <v/>
      </c>
      <c r="I34" s="37" t="str">
        <f t="shared" si="2"/>
        <v/>
      </c>
      <c r="J34" s="37" t="str">
        <f t="shared" si="3"/>
        <v/>
      </c>
      <c r="K34" s="37" t="str">
        <f t="shared" si="4"/>
        <v/>
      </c>
      <c r="L34" s="34"/>
      <c r="M34" s="34"/>
      <c r="N34" s="34"/>
    </row>
    <row r="35" spans="1:14" x14ac:dyDescent="0.25">
      <c r="A35" s="18">
        <v>29</v>
      </c>
      <c r="B35" s="18"/>
      <c r="C35" s="33"/>
      <c r="D35" s="33"/>
      <c r="E35" s="33"/>
      <c r="F35" s="33"/>
      <c r="G35" s="37" t="str">
        <f t="shared" si="0"/>
        <v/>
      </c>
      <c r="H35" s="37" t="str">
        <f t="shared" si="1"/>
        <v/>
      </c>
      <c r="I35" s="37" t="str">
        <f t="shared" si="2"/>
        <v/>
      </c>
      <c r="J35" s="37" t="str">
        <f t="shared" si="3"/>
        <v/>
      </c>
      <c r="K35" s="37" t="str">
        <f t="shared" si="4"/>
        <v/>
      </c>
      <c r="L35" s="34"/>
      <c r="M35" s="34"/>
      <c r="N35" s="34"/>
    </row>
    <row r="36" spans="1:14" x14ac:dyDescent="0.25">
      <c r="A36" s="18">
        <v>30</v>
      </c>
      <c r="B36" s="18"/>
      <c r="C36" s="33"/>
      <c r="D36" s="33"/>
      <c r="E36" s="33"/>
      <c r="F36" s="33"/>
      <c r="G36" s="37" t="str">
        <f t="shared" si="0"/>
        <v/>
      </c>
      <c r="H36" s="37" t="str">
        <f t="shared" si="1"/>
        <v/>
      </c>
      <c r="I36" s="37" t="str">
        <f t="shared" si="2"/>
        <v/>
      </c>
      <c r="J36" s="37" t="str">
        <f t="shared" si="3"/>
        <v/>
      </c>
      <c r="K36" s="37" t="str">
        <f t="shared" si="4"/>
        <v/>
      </c>
      <c r="L36" s="34"/>
      <c r="M36" s="34"/>
      <c r="N36" s="34"/>
    </row>
    <row r="37" spans="1:14" x14ac:dyDescent="0.25">
      <c r="A37" s="18">
        <v>31</v>
      </c>
      <c r="B37" s="18"/>
      <c r="C37" s="33"/>
      <c r="D37" s="33"/>
      <c r="E37" s="33"/>
      <c r="F37" s="33"/>
      <c r="G37" s="37" t="str">
        <f t="shared" si="0"/>
        <v/>
      </c>
      <c r="H37" s="37" t="str">
        <f t="shared" si="1"/>
        <v/>
      </c>
      <c r="I37" s="37" t="str">
        <f t="shared" si="2"/>
        <v/>
      </c>
      <c r="J37" s="37" t="str">
        <f t="shared" si="3"/>
        <v/>
      </c>
      <c r="K37" s="37" t="str">
        <f t="shared" si="4"/>
        <v/>
      </c>
      <c r="L37" s="34"/>
      <c r="M37" s="34"/>
      <c r="N37" s="34"/>
    </row>
    <row r="38" spans="1:14" x14ac:dyDescent="0.25">
      <c r="A38" s="18">
        <v>32</v>
      </c>
      <c r="B38" s="18"/>
      <c r="C38" s="33"/>
      <c r="D38" s="33"/>
      <c r="E38" s="33"/>
      <c r="F38" s="33"/>
      <c r="G38" s="37" t="str">
        <f t="shared" si="0"/>
        <v/>
      </c>
      <c r="H38" s="37" t="str">
        <f t="shared" si="1"/>
        <v/>
      </c>
      <c r="I38" s="37" t="str">
        <f t="shared" si="2"/>
        <v/>
      </c>
      <c r="J38" s="37" t="str">
        <f t="shared" si="3"/>
        <v/>
      </c>
      <c r="K38" s="37" t="str">
        <f t="shared" si="4"/>
        <v/>
      </c>
      <c r="L38" s="34"/>
      <c r="M38" s="34"/>
      <c r="N38" s="34"/>
    </row>
    <row r="39" spans="1:14" x14ac:dyDescent="0.25">
      <c r="A39" s="18">
        <v>33</v>
      </c>
      <c r="B39" s="18"/>
      <c r="C39" s="33"/>
      <c r="D39" s="33"/>
      <c r="E39" s="33"/>
      <c r="F39" s="33"/>
      <c r="G39" s="37" t="str">
        <f t="shared" ref="G39:G70" si="5">IF(E39="","",E39*SIN(RADIANS(D39)))</f>
        <v/>
      </c>
      <c r="H39" s="37" t="str">
        <f t="shared" ref="H39:H70" si="6">IF(E39="","",E39*COS(RADIANS(D39)))</f>
        <v/>
      </c>
      <c r="I39" s="37" t="str">
        <f t="shared" ref="I39:I70" si="7">IF(E39="","",N_base+G39*COS(RADIANS(C39)))</f>
        <v/>
      </c>
      <c r="J39" s="37" t="str">
        <f t="shared" ref="J39:J70" si="8">IF(E39="","",E_base+G39*SIN(RADIANS(C39)))</f>
        <v/>
      </c>
      <c r="K39" s="37" t="str">
        <f t="shared" ref="K39:K70" si="9">IF(E39="","",Z_base+hi_ET+H39-F39)</f>
        <v/>
      </c>
      <c r="L39" s="34"/>
      <c r="M39" s="34"/>
      <c r="N39" s="34"/>
    </row>
    <row r="40" spans="1:14" x14ac:dyDescent="0.25">
      <c r="A40" s="18">
        <v>34</v>
      </c>
      <c r="B40" s="18"/>
      <c r="C40" s="33"/>
      <c r="D40" s="33"/>
      <c r="E40" s="33"/>
      <c r="F40" s="33"/>
      <c r="G40" s="37" t="str">
        <f t="shared" si="5"/>
        <v/>
      </c>
      <c r="H40" s="37" t="str">
        <f t="shared" si="6"/>
        <v/>
      </c>
      <c r="I40" s="37" t="str">
        <f t="shared" si="7"/>
        <v/>
      </c>
      <c r="J40" s="37" t="str">
        <f t="shared" si="8"/>
        <v/>
      </c>
      <c r="K40" s="37" t="str">
        <f t="shared" si="9"/>
        <v/>
      </c>
      <c r="L40" s="34"/>
      <c r="M40" s="34"/>
      <c r="N40" s="34"/>
    </row>
    <row r="41" spans="1:14" x14ac:dyDescent="0.25">
      <c r="A41" s="18">
        <v>35</v>
      </c>
      <c r="B41" s="18"/>
      <c r="C41" s="33"/>
      <c r="D41" s="33"/>
      <c r="E41" s="33"/>
      <c r="F41" s="33"/>
      <c r="G41" s="37" t="str">
        <f t="shared" si="5"/>
        <v/>
      </c>
      <c r="H41" s="37" t="str">
        <f t="shared" si="6"/>
        <v/>
      </c>
      <c r="I41" s="37" t="str">
        <f t="shared" si="7"/>
        <v/>
      </c>
      <c r="J41" s="37" t="str">
        <f t="shared" si="8"/>
        <v/>
      </c>
      <c r="K41" s="37" t="str">
        <f t="shared" si="9"/>
        <v/>
      </c>
      <c r="L41" s="34"/>
      <c r="M41" s="34"/>
      <c r="N41" s="34"/>
    </row>
    <row r="42" spans="1:14" x14ac:dyDescent="0.25">
      <c r="A42" s="18">
        <v>36</v>
      </c>
      <c r="B42" s="18"/>
      <c r="C42" s="33"/>
      <c r="D42" s="33"/>
      <c r="E42" s="33"/>
      <c r="F42" s="33"/>
      <c r="G42" s="37" t="str">
        <f t="shared" si="5"/>
        <v/>
      </c>
      <c r="H42" s="37" t="str">
        <f t="shared" si="6"/>
        <v/>
      </c>
      <c r="I42" s="37" t="str">
        <f t="shared" si="7"/>
        <v/>
      </c>
      <c r="J42" s="37" t="str">
        <f t="shared" si="8"/>
        <v/>
      </c>
      <c r="K42" s="37" t="str">
        <f t="shared" si="9"/>
        <v/>
      </c>
      <c r="L42" s="34"/>
      <c r="M42" s="34"/>
      <c r="N42" s="34"/>
    </row>
    <row r="43" spans="1:14" x14ac:dyDescent="0.25">
      <c r="A43" s="18">
        <v>37</v>
      </c>
      <c r="B43" s="18"/>
      <c r="C43" s="33"/>
      <c r="D43" s="33"/>
      <c r="E43" s="33"/>
      <c r="F43" s="33"/>
      <c r="G43" s="37" t="str">
        <f t="shared" si="5"/>
        <v/>
      </c>
      <c r="H43" s="37" t="str">
        <f t="shared" si="6"/>
        <v/>
      </c>
      <c r="I43" s="37" t="str">
        <f t="shared" si="7"/>
        <v/>
      </c>
      <c r="J43" s="37" t="str">
        <f t="shared" si="8"/>
        <v/>
      </c>
      <c r="K43" s="37" t="str">
        <f t="shared" si="9"/>
        <v/>
      </c>
      <c r="L43" s="34"/>
      <c r="M43" s="34"/>
      <c r="N43" s="34"/>
    </row>
    <row r="44" spans="1:14" x14ac:dyDescent="0.25">
      <c r="A44" s="18">
        <v>38</v>
      </c>
      <c r="B44" s="18"/>
      <c r="C44" s="33"/>
      <c r="D44" s="33"/>
      <c r="E44" s="33"/>
      <c r="F44" s="33"/>
      <c r="G44" s="37" t="str">
        <f t="shared" si="5"/>
        <v/>
      </c>
      <c r="H44" s="37" t="str">
        <f t="shared" si="6"/>
        <v/>
      </c>
      <c r="I44" s="37" t="str">
        <f t="shared" si="7"/>
        <v/>
      </c>
      <c r="J44" s="37" t="str">
        <f t="shared" si="8"/>
        <v/>
      </c>
      <c r="K44" s="37" t="str">
        <f t="shared" si="9"/>
        <v/>
      </c>
      <c r="L44" s="34"/>
      <c r="M44" s="34"/>
      <c r="N44" s="34"/>
    </row>
    <row r="45" spans="1:14" x14ac:dyDescent="0.25">
      <c r="A45" s="18">
        <v>39</v>
      </c>
      <c r="B45" s="18"/>
      <c r="C45" s="33"/>
      <c r="D45" s="33"/>
      <c r="E45" s="33"/>
      <c r="F45" s="33"/>
      <c r="G45" s="37" t="str">
        <f t="shared" si="5"/>
        <v/>
      </c>
      <c r="H45" s="37" t="str">
        <f t="shared" si="6"/>
        <v/>
      </c>
      <c r="I45" s="37" t="str">
        <f t="shared" si="7"/>
        <v/>
      </c>
      <c r="J45" s="37" t="str">
        <f t="shared" si="8"/>
        <v/>
      </c>
      <c r="K45" s="37" t="str">
        <f t="shared" si="9"/>
        <v/>
      </c>
      <c r="L45" s="34"/>
      <c r="M45" s="34"/>
      <c r="N45" s="34"/>
    </row>
    <row r="46" spans="1:14" x14ac:dyDescent="0.25">
      <c r="A46" s="18">
        <v>40</v>
      </c>
      <c r="B46" s="18"/>
      <c r="C46" s="33"/>
      <c r="D46" s="33"/>
      <c r="E46" s="33"/>
      <c r="F46" s="33"/>
      <c r="G46" s="37" t="str">
        <f t="shared" si="5"/>
        <v/>
      </c>
      <c r="H46" s="37" t="str">
        <f t="shared" si="6"/>
        <v/>
      </c>
      <c r="I46" s="37" t="str">
        <f t="shared" si="7"/>
        <v/>
      </c>
      <c r="J46" s="37" t="str">
        <f t="shared" si="8"/>
        <v/>
      </c>
      <c r="K46" s="37" t="str">
        <f t="shared" si="9"/>
        <v/>
      </c>
      <c r="L46" s="34"/>
      <c r="M46" s="34"/>
      <c r="N46" s="34"/>
    </row>
    <row r="47" spans="1:14" x14ac:dyDescent="0.25">
      <c r="A47" s="18">
        <v>41</v>
      </c>
      <c r="B47" s="18"/>
      <c r="C47" s="33"/>
      <c r="D47" s="33"/>
      <c r="E47" s="33"/>
      <c r="F47" s="33"/>
      <c r="G47" s="37" t="str">
        <f t="shared" si="5"/>
        <v/>
      </c>
      <c r="H47" s="37" t="str">
        <f t="shared" si="6"/>
        <v/>
      </c>
      <c r="I47" s="37" t="str">
        <f t="shared" si="7"/>
        <v/>
      </c>
      <c r="J47" s="37" t="str">
        <f t="shared" si="8"/>
        <v/>
      </c>
      <c r="K47" s="37" t="str">
        <f t="shared" si="9"/>
        <v/>
      </c>
      <c r="L47" s="34"/>
      <c r="M47" s="34"/>
      <c r="N47" s="34"/>
    </row>
    <row r="48" spans="1:14" x14ac:dyDescent="0.25">
      <c r="A48" s="18">
        <v>42</v>
      </c>
      <c r="B48" s="18"/>
      <c r="C48" s="33"/>
      <c r="D48" s="33"/>
      <c r="E48" s="33"/>
      <c r="F48" s="33"/>
      <c r="G48" s="37" t="str">
        <f t="shared" si="5"/>
        <v/>
      </c>
      <c r="H48" s="37" t="str">
        <f t="shared" si="6"/>
        <v/>
      </c>
      <c r="I48" s="37" t="str">
        <f t="shared" si="7"/>
        <v/>
      </c>
      <c r="J48" s="37" t="str">
        <f t="shared" si="8"/>
        <v/>
      </c>
      <c r="K48" s="37" t="str">
        <f t="shared" si="9"/>
        <v/>
      </c>
      <c r="L48" s="34"/>
      <c r="M48" s="34"/>
      <c r="N48" s="34"/>
    </row>
    <row r="49" spans="1:14" x14ac:dyDescent="0.25">
      <c r="A49" s="18">
        <v>43</v>
      </c>
      <c r="B49" s="18"/>
      <c r="C49" s="33"/>
      <c r="D49" s="33"/>
      <c r="E49" s="33"/>
      <c r="F49" s="33"/>
      <c r="G49" s="37" t="str">
        <f t="shared" si="5"/>
        <v/>
      </c>
      <c r="H49" s="37" t="str">
        <f t="shared" si="6"/>
        <v/>
      </c>
      <c r="I49" s="37" t="str">
        <f t="shared" si="7"/>
        <v/>
      </c>
      <c r="J49" s="37" t="str">
        <f t="shared" si="8"/>
        <v/>
      </c>
      <c r="K49" s="37" t="str">
        <f t="shared" si="9"/>
        <v/>
      </c>
      <c r="L49" s="34"/>
      <c r="M49" s="34"/>
      <c r="N49" s="34"/>
    </row>
    <row r="50" spans="1:14" x14ac:dyDescent="0.25">
      <c r="A50" s="18">
        <v>44</v>
      </c>
      <c r="B50" s="18"/>
      <c r="C50" s="33"/>
      <c r="D50" s="33"/>
      <c r="E50" s="33"/>
      <c r="F50" s="33"/>
      <c r="G50" s="37" t="str">
        <f t="shared" si="5"/>
        <v/>
      </c>
      <c r="H50" s="37" t="str">
        <f t="shared" si="6"/>
        <v/>
      </c>
      <c r="I50" s="37" t="str">
        <f t="shared" si="7"/>
        <v/>
      </c>
      <c r="J50" s="37" t="str">
        <f t="shared" si="8"/>
        <v/>
      </c>
      <c r="K50" s="37" t="str">
        <f t="shared" si="9"/>
        <v/>
      </c>
      <c r="L50" s="34"/>
      <c r="M50" s="34"/>
      <c r="N50" s="34"/>
    </row>
    <row r="51" spans="1:14" x14ac:dyDescent="0.25">
      <c r="A51" s="18">
        <v>45</v>
      </c>
      <c r="B51" s="18"/>
      <c r="C51" s="33"/>
      <c r="D51" s="33"/>
      <c r="E51" s="33"/>
      <c r="F51" s="33"/>
      <c r="G51" s="37" t="str">
        <f t="shared" si="5"/>
        <v/>
      </c>
      <c r="H51" s="37" t="str">
        <f t="shared" si="6"/>
        <v/>
      </c>
      <c r="I51" s="37" t="str">
        <f t="shared" si="7"/>
        <v/>
      </c>
      <c r="J51" s="37" t="str">
        <f t="shared" si="8"/>
        <v/>
      </c>
      <c r="K51" s="37" t="str">
        <f t="shared" si="9"/>
        <v/>
      </c>
      <c r="L51" s="34"/>
      <c r="M51" s="34"/>
      <c r="N51" s="34"/>
    </row>
    <row r="52" spans="1:14" x14ac:dyDescent="0.25">
      <c r="A52" s="18">
        <v>46</v>
      </c>
      <c r="B52" s="18"/>
      <c r="C52" s="33"/>
      <c r="D52" s="33"/>
      <c r="E52" s="33"/>
      <c r="F52" s="33"/>
      <c r="G52" s="37" t="str">
        <f t="shared" si="5"/>
        <v/>
      </c>
      <c r="H52" s="37" t="str">
        <f t="shared" si="6"/>
        <v/>
      </c>
      <c r="I52" s="37" t="str">
        <f t="shared" si="7"/>
        <v/>
      </c>
      <c r="J52" s="37" t="str">
        <f t="shared" si="8"/>
        <v/>
      </c>
      <c r="K52" s="37" t="str">
        <f t="shared" si="9"/>
        <v/>
      </c>
      <c r="L52" s="34"/>
      <c r="M52" s="34"/>
      <c r="N52" s="34"/>
    </row>
    <row r="53" spans="1:14" x14ac:dyDescent="0.25">
      <c r="A53" s="18">
        <v>47</v>
      </c>
      <c r="B53" s="18"/>
      <c r="C53" s="33"/>
      <c r="D53" s="33"/>
      <c r="E53" s="33"/>
      <c r="F53" s="33"/>
      <c r="G53" s="37" t="str">
        <f t="shared" si="5"/>
        <v/>
      </c>
      <c r="H53" s="37" t="str">
        <f t="shared" si="6"/>
        <v/>
      </c>
      <c r="I53" s="37" t="str">
        <f t="shared" si="7"/>
        <v/>
      </c>
      <c r="J53" s="37" t="str">
        <f t="shared" si="8"/>
        <v/>
      </c>
      <c r="K53" s="37" t="str">
        <f t="shared" si="9"/>
        <v/>
      </c>
      <c r="L53" s="34"/>
      <c r="M53" s="34"/>
      <c r="N53" s="34"/>
    </row>
    <row r="54" spans="1:14" x14ac:dyDescent="0.25">
      <c r="A54" s="18">
        <v>48</v>
      </c>
      <c r="B54" s="18"/>
      <c r="C54" s="33"/>
      <c r="D54" s="33"/>
      <c r="E54" s="33"/>
      <c r="F54" s="33"/>
      <c r="G54" s="37" t="str">
        <f t="shared" si="5"/>
        <v/>
      </c>
      <c r="H54" s="37" t="str">
        <f t="shared" si="6"/>
        <v/>
      </c>
      <c r="I54" s="37" t="str">
        <f t="shared" si="7"/>
        <v/>
      </c>
      <c r="J54" s="37" t="str">
        <f t="shared" si="8"/>
        <v/>
      </c>
      <c r="K54" s="37" t="str">
        <f t="shared" si="9"/>
        <v/>
      </c>
      <c r="L54" s="34"/>
      <c r="M54" s="34"/>
      <c r="N54" s="34"/>
    </row>
    <row r="55" spans="1:14" x14ac:dyDescent="0.25">
      <c r="A55" s="18">
        <v>49</v>
      </c>
      <c r="B55" s="18"/>
      <c r="C55" s="33"/>
      <c r="D55" s="33"/>
      <c r="E55" s="33"/>
      <c r="F55" s="33"/>
      <c r="G55" s="37" t="str">
        <f t="shared" si="5"/>
        <v/>
      </c>
      <c r="H55" s="37" t="str">
        <f t="shared" si="6"/>
        <v/>
      </c>
      <c r="I55" s="37" t="str">
        <f t="shared" si="7"/>
        <v/>
      </c>
      <c r="J55" s="37" t="str">
        <f t="shared" si="8"/>
        <v/>
      </c>
      <c r="K55" s="37" t="str">
        <f t="shared" si="9"/>
        <v/>
      </c>
      <c r="L55" s="34"/>
      <c r="M55" s="34"/>
      <c r="N55" s="34"/>
    </row>
    <row r="56" spans="1:14" x14ac:dyDescent="0.25">
      <c r="A56" s="18">
        <v>50</v>
      </c>
      <c r="B56" s="18"/>
      <c r="C56" s="33"/>
      <c r="D56" s="33"/>
      <c r="E56" s="33"/>
      <c r="F56" s="33"/>
      <c r="G56" s="37" t="str">
        <f t="shared" si="5"/>
        <v/>
      </c>
      <c r="H56" s="37" t="str">
        <f t="shared" si="6"/>
        <v/>
      </c>
      <c r="I56" s="37" t="str">
        <f t="shared" si="7"/>
        <v/>
      </c>
      <c r="J56" s="37" t="str">
        <f t="shared" si="8"/>
        <v/>
      </c>
      <c r="K56" s="37" t="str">
        <f t="shared" si="9"/>
        <v/>
      </c>
      <c r="L56" s="34"/>
      <c r="M56" s="34"/>
      <c r="N56" s="34"/>
    </row>
    <row r="57" spans="1:14" x14ac:dyDescent="0.25">
      <c r="A57" s="18">
        <v>51</v>
      </c>
      <c r="B57" s="18"/>
      <c r="C57" s="33"/>
      <c r="D57" s="33"/>
      <c r="E57" s="33"/>
      <c r="F57" s="33"/>
      <c r="G57" s="37" t="str">
        <f t="shared" si="5"/>
        <v/>
      </c>
      <c r="H57" s="37" t="str">
        <f t="shared" si="6"/>
        <v/>
      </c>
      <c r="I57" s="37" t="str">
        <f t="shared" si="7"/>
        <v/>
      </c>
      <c r="J57" s="37" t="str">
        <f t="shared" si="8"/>
        <v/>
      </c>
      <c r="K57" s="37" t="str">
        <f t="shared" si="9"/>
        <v/>
      </c>
      <c r="L57" s="34"/>
      <c r="M57" s="34"/>
      <c r="N57" s="34"/>
    </row>
    <row r="58" spans="1:14" x14ac:dyDescent="0.25">
      <c r="A58" s="18">
        <v>52</v>
      </c>
      <c r="B58" s="18"/>
      <c r="C58" s="33"/>
      <c r="D58" s="33"/>
      <c r="E58" s="33"/>
      <c r="F58" s="33"/>
      <c r="G58" s="37" t="str">
        <f t="shared" si="5"/>
        <v/>
      </c>
      <c r="H58" s="37" t="str">
        <f t="shared" si="6"/>
        <v/>
      </c>
      <c r="I58" s="37" t="str">
        <f t="shared" si="7"/>
        <v/>
      </c>
      <c r="J58" s="37" t="str">
        <f t="shared" si="8"/>
        <v/>
      </c>
      <c r="K58" s="37" t="str">
        <f t="shared" si="9"/>
        <v/>
      </c>
      <c r="L58" s="34"/>
      <c r="M58" s="34"/>
      <c r="N58" s="34"/>
    </row>
    <row r="59" spans="1:14" x14ac:dyDescent="0.25">
      <c r="A59" s="18">
        <v>53</v>
      </c>
      <c r="B59" s="18"/>
      <c r="C59" s="33"/>
      <c r="D59" s="33"/>
      <c r="E59" s="33"/>
      <c r="F59" s="33"/>
      <c r="G59" s="37" t="str">
        <f t="shared" si="5"/>
        <v/>
      </c>
      <c r="H59" s="37" t="str">
        <f t="shared" si="6"/>
        <v/>
      </c>
      <c r="I59" s="37" t="str">
        <f t="shared" si="7"/>
        <v/>
      </c>
      <c r="J59" s="37" t="str">
        <f t="shared" si="8"/>
        <v/>
      </c>
      <c r="K59" s="37" t="str">
        <f t="shared" si="9"/>
        <v/>
      </c>
      <c r="L59" s="34"/>
      <c r="M59" s="34"/>
      <c r="N59" s="34"/>
    </row>
    <row r="60" spans="1:14" x14ac:dyDescent="0.25">
      <c r="A60" s="18">
        <v>54</v>
      </c>
      <c r="B60" s="18"/>
      <c r="C60" s="33"/>
      <c r="D60" s="33"/>
      <c r="E60" s="33"/>
      <c r="F60" s="33"/>
      <c r="G60" s="37" t="str">
        <f t="shared" si="5"/>
        <v/>
      </c>
      <c r="H60" s="37" t="str">
        <f t="shared" si="6"/>
        <v/>
      </c>
      <c r="I60" s="37" t="str">
        <f t="shared" si="7"/>
        <v/>
      </c>
      <c r="J60" s="37" t="str">
        <f t="shared" si="8"/>
        <v/>
      </c>
      <c r="K60" s="37" t="str">
        <f t="shared" si="9"/>
        <v/>
      </c>
      <c r="L60" s="34"/>
      <c r="M60" s="34"/>
      <c r="N60" s="34"/>
    </row>
    <row r="61" spans="1:14" x14ac:dyDescent="0.25">
      <c r="A61" s="18">
        <v>55</v>
      </c>
      <c r="B61" s="18"/>
      <c r="C61" s="33"/>
      <c r="D61" s="33"/>
      <c r="E61" s="33"/>
      <c r="F61" s="33"/>
      <c r="G61" s="37" t="str">
        <f t="shared" si="5"/>
        <v/>
      </c>
      <c r="H61" s="37" t="str">
        <f t="shared" si="6"/>
        <v/>
      </c>
      <c r="I61" s="37" t="str">
        <f t="shared" si="7"/>
        <v/>
      </c>
      <c r="J61" s="37" t="str">
        <f t="shared" si="8"/>
        <v/>
      </c>
      <c r="K61" s="37" t="str">
        <f t="shared" si="9"/>
        <v/>
      </c>
      <c r="L61" s="34"/>
      <c r="M61" s="34"/>
      <c r="N61" s="34"/>
    </row>
    <row r="62" spans="1:14" x14ac:dyDescent="0.25">
      <c r="A62" s="18">
        <v>56</v>
      </c>
      <c r="B62" s="18"/>
      <c r="C62" s="33"/>
      <c r="D62" s="33"/>
      <c r="E62" s="33"/>
      <c r="F62" s="33"/>
      <c r="G62" s="37" t="str">
        <f t="shared" si="5"/>
        <v/>
      </c>
      <c r="H62" s="37" t="str">
        <f t="shared" si="6"/>
        <v/>
      </c>
      <c r="I62" s="37" t="str">
        <f t="shared" si="7"/>
        <v/>
      </c>
      <c r="J62" s="37" t="str">
        <f t="shared" si="8"/>
        <v/>
      </c>
      <c r="K62" s="37" t="str">
        <f t="shared" si="9"/>
        <v/>
      </c>
      <c r="L62" s="34"/>
      <c r="M62" s="34"/>
      <c r="N62" s="34"/>
    </row>
    <row r="63" spans="1:14" x14ac:dyDescent="0.25">
      <c r="A63" s="18">
        <v>57</v>
      </c>
      <c r="B63" s="18"/>
      <c r="C63" s="33"/>
      <c r="D63" s="33"/>
      <c r="E63" s="33"/>
      <c r="F63" s="33"/>
      <c r="G63" s="37" t="str">
        <f t="shared" si="5"/>
        <v/>
      </c>
      <c r="H63" s="37" t="str">
        <f t="shared" si="6"/>
        <v/>
      </c>
      <c r="I63" s="37" t="str">
        <f t="shared" si="7"/>
        <v/>
      </c>
      <c r="J63" s="37" t="str">
        <f t="shared" si="8"/>
        <v/>
      </c>
      <c r="K63" s="37" t="str">
        <f t="shared" si="9"/>
        <v/>
      </c>
      <c r="L63" s="34"/>
      <c r="M63" s="34"/>
      <c r="N63" s="34"/>
    </row>
    <row r="64" spans="1:14" x14ac:dyDescent="0.25">
      <c r="A64" s="18">
        <v>58</v>
      </c>
      <c r="B64" s="18"/>
      <c r="C64" s="33"/>
      <c r="D64" s="33"/>
      <c r="E64" s="33"/>
      <c r="F64" s="33"/>
      <c r="G64" s="37" t="str">
        <f t="shared" si="5"/>
        <v/>
      </c>
      <c r="H64" s="37" t="str">
        <f t="shared" si="6"/>
        <v/>
      </c>
      <c r="I64" s="37" t="str">
        <f t="shared" si="7"/>
        <v/>
      </c>
      <c r="J64" s="37" t="str">
        <f t="shared" si="8"/>
        <v/>
      </c>
      <c r="K64" s="37" t="str">
        <f t="shared" si="9"/>
        <v/>
      </c>
      <c r="L64" s="34"/>
      <c r="M64" s="34"/>
      <c r="N64" s="34"/>
    </row>
    <row r="65" spans="1:14" x14ac:dyDescent="0.25">
      <c r="A65" s="18">
        <v>59</v>
      </c>
      <c r="B65" s="18"/>
      <c r="C65" s="33"/>
      <c r="D65" s="33"/>
      <c r="E65" s="33"/>
      <c r="F65" s="33"/>
      <c r="G65" s="37" t="str">
        <f t="shared" si="5"/>
        <v/>
      </c>
      <c r="H65" s="37" t="str">
        <f t="shared" si="6"/>
        <v/>
      </c>
      <c r="I65" s="37" t="str">
        <f t="shared" si="7"/>
        <v/>
      </c>
      <c r="J65" s="37" t="str">
        <f t="shared" si="8"/>
        <v/>
      </c>
      <c r="K65" s="37" t="str">
        <f t="shared" si="9"/>
        <v/>
      </c>
      <c r="L65" s="34"/>
      <c r="M65" s="34"/>
      <c r="N65" s="34"/>
    </row>
    <row r="66" spans="1:14" x14ac:dyDescent="0.25">
      <c r="A66" s="18">
        <v>60</v>
      </c>
      <c r="B66" s="18"/>
      <c r="C66" s="33"/>
      <c r="D66" s="33"/>
      <c r="E66" s="33"/>
      <c r="F66" s="33"/>
      <c r="G66" s="37" t="str">
        <f t="shared" si="5"/>
        <v/>
      </c>
      <c r="H66" s="37" t="str">
        <f t="shared" si="6"/>
        <v/>
      </c>
      <c r="I66" s="37" t="str">
        <f t="shared" si="7"/>
        <v/>
      </c>
      <c r="J66" s="37" t="str">
        <f t="shared" si="8"/>
        <v/>
      </c>
      <c r="K66" s="37" t="str">
        <f t="shared" si="9"/>
        <v/>
      </c>
      <c r="L66" s="34"/>
      <c r="M66" s="34"/>
      <c r="N66" s="34"/>
    </row>
    <row r="67" spans="1:14" x14ac:dyDescent="0.25">
      <c r="A67" s="18">
        <v>61</v>
      </c>
      <c r="B67" s="18"/>
      <c r="C67" s="33"/>
      <c r="D67" s="33"/>
      <c r="E67" s="33"/>
      <c r="F67" s="33"/>
      <c r="G67" s="37" t="str">
        <f t="shared" si="5"/>
        <v/>
      </c>
      <c r="H67" s="37" t="str">
        <f t="shared" si="6"/>
        <v/>
      </c>
      <c r="I67" s="37" t="str">
        <f t="shared" si="7"/>
        <v/>
      </c>
      <c r="J67" s="37" t="str">
        <f t="shared" si="8"/>
        <v/>
      </c>
      <c r="K67" s="37" t="str">
        <f t="shared" si="9"/>
        <v/>
      </c>
      <c r="L67" s="34"/>
      <c r="M67" s="34"/>
      <c r="N67" s="34"/>
    </row>
    <row r="68" spans="1:14" x14ac:dyDescent="0.25">
      <c r="A68" s="18">
        <v>62</v>
      </c>
      <c r="B68" s="18"/>
      <c r="C68" s="33"/>
      <c r="D68" s="33"/>
      <c r="E68" s="33"/>
      <c r="F68" s="33"/>
      <c r="G68" s="37" t="str">
        <f t="shared" si="5"/>
        <v/>
      </c>
      <c r="H68" s="37" t="str">
        <f t="shared" si="6"/>
        <v/>
      </c>
      <c r="I68" s="37" t="str">
        <f t="shared" si="7"/>
        <v/>
      </c>
      <c r="J68" s="37" t="str">
        <f t="shared" si="8"/>
        <v/>
      </c>
      <c r="K68" s="37" t="str">
        <f t="shared" si="9"/>
        <v/>
      </c>
      <c r="L68" s="34"/>
      <c r="M68" s="34"/>
      <c r="N68" s="34"/>
    </row>
    <row r="69" spans="1:14" x14ac:dyDescent="0.25">
      <c r="A69" s="18">
        <v>63</v>
      </c>
      <c r="B69" s="18"/>
      <c r="C69" s="33"/>
      <c r="D69" s="33"/>
      <c r="E69" s="33"/>
      <c r="F69" s="33"/>
      <c r="G69" s="37" t="str">
        <f t="shared" si="5"/>
        <v/>
      </c>
      <c r="H69" s="37" t="str">
        <f t="shared" si="6"/>
        <v/>
      </c>
      <c r="I69" s="37" t="str">
        <f t="shared" si="7"/>
        <v/>
      </c>
      <c r="J69" s="37" t="str">
        <f t="shared" si="8"/>
        <v/>
      </c>
      <c r="K69" s="37" t="str">
        <f t="shared" si="9"/>
        <v/>
      </c>
      <c r="L69" s="34"/>
      <c r="M69" s="34"/>
      <c r="N69" s="34"/>
    </row>
    <row r="70" spans="1:14" x14ac:dyDescent="0.25">
      <c r="A70" s="18">
        <v>64</v>
      </c>
      <c r="B70" s="18"/>
      <c r="C70" s="33"/>
      <c r="D70" s="33"/>
      <c r="E70" s="33"/>
      <c r="F70" s="33"/>
      <c r="G70" s="37" t="str">
        <f t="shared" si="5"/>
        <v/>
      </c>
      <c r="H70" s="37" t="str">
        <f t="shared" si="6"/>
        <v/>
      </c>
      <c r="I70" s="37" t="str">
        <f t="shared" si="7"/>
        <v/>
      </c>
      <c r="J70" s="37" t="str">
        <f t="shared" si="8"/>
        <v/>
      </c>
      <c r="K70" s="37" t="str">
        <f t="shared" si="9"/>
        <v/>
      </c>
      <c r="L70" s="34"/>
      <c r="M70" s="34"/>
      <c r="N70" s="34"/>
    </row>
    <row r="71" spans="1:14" x14ac:dyDescent="0.25">
      <c r="A71" s="18">
        <v>65</v>
      </c>
      <c r="B71" s="18"/>
      <c r="C71" s="33"/>
      <c r="D71" s="33"/>
      <c r="E71" s="33"/>
      <c r="F71" s="33"/>
      <c r="G71" s="37" t="str">
        <f t="shared" ref="G71:G102" si="10">IF(E71="","",E71*SIN(RADIANS(D71)))</f>
        <v/>
      </c>
      <c r="H71" s="37" t="str">
        <f t="shared" ref="H71:H102" si="11">IF(E71="","",E71*COS(RADIANS(D71)))</f>
        <v/>
      </c>
      <c r="I71" s="37" t="str">
        <f t="shared" ref="I71:I102" si="12">IF(E71="","",N_base+G71*COS(RADIANS(C71)))</f>
        <v/>
      </c>
      <c r="J71" s="37" t="str">
        <f t="shared" ref="J71:J102" si="13">IF(E71="","",E_base+G71*SIN(RADIANS(C71)))</f>
        <v/>
      </c>
      <c r="K71" s="37" t="str">
        <f t="shared" ref="K71:K102" si="14">IF(E71="","",Z_base+hi_ET+H71-F71)</f>
        <v/>
      </c>
      <c r="L71" s="34"/>
      <c r="M71" s="34"/>
      <c r="N71" s="34"/>
    </row>
    <row r="72" spans="1:14" x14ac:dyDescent="0.25">
      <c r="A72" s="18">
        <v>66</v>
      </c>
      <c r="B72" s="18"/>
      <c r="C72" s="33"/>
      <c r="D72" s="33"/>
      <c r="E72" s="33"/>
      <c r="F72" s="33"/>
      <c r="G72" s="37" t="str">
        <f t="shared" si="10"/>
        <v/>
      </c>
      <c r="H72" s="37" t="str">
        <f t="shared" si="11"/>
        <v/>
      </c>
      <c r="I72" s="37" t="str">
        <f t="shared" si="12"/>
        <v/>
      </c>
      <c r="J72" s="37" t="str">
        <f t="shared" si="13"/>
        <v/>
      </c>
      <c r="K72" s="37" t="str">
        <f t="shared" si="14"/>
        <v/>
      </c>
      <c r="L72" s="34"/>
      <c r="M72" s="34"/>
      <c r="N72" s="34"/>
    </row>
    <row r="73" spans="1:14" x14ac:dyDescent="0.25">
      <c r="A73" s="18">
        <v>67</v>
      </c>
      <c r="B73" s="18"/>
      <c r="C73" s="33"/>
      <c r="D73" s="33"/>
      <c r="E73" s="33"/>
      <c r="F73" s="33"/>
      <c r="G73" s="37" t="str">
        <f t="shared" si="10"/>
        <v/>
      </c>
      <c r="H73" s="37" t="str">
        <f t="shared" si="11"/>
        <v/>
      </c>
      <c r="I73" s="37" t="str">
        <f t="shared" si="12"/>
        <v/>
      </c>
      <c r="J73" s="37" t="str">
        <f t="shared" si="13"/>
        <v/>
      </c>
      <c r="K73" s="37" t="str">
        <f t="shared" si="14"/>
        <v/>
      </c>
      <c r="L73" s="34"/>
      <c r="M73" s="34"/>
      <c r="N73" s="34"/>
    </row>
    <row r="74" spans="1:14" x14ac:dyDescent="0.25">
      <c r="A74" s="18">
        <v>68</v>
      </c>
      <c r="B74" s="18"/>
      <c r="C74" s="33"/>
      <c r="D74" s="33"/>
      <c r="E74" s="33"/>
      <c r="F74" s="33"/>
      <c r="G74" s="37" t="str">
        <f t="shared" si="10"/>
        <v/>
      </c>
      <c r="H74" s="37" t="str">
        <f t="shared" si="11"/>
        <v/>
      </c>
      <c r="I74" s="37" t="str">
        <f t="shared" si="12"/>
        <v/>
      </c>
      <c r="J74" s="37" t="str">
        <f t="shared" si="13"/>
        <v/>
      </c>
      <c r="K74" s="37" t="str">
        <f t="shared" si="14"/>
        <v/>
      </c>
      <c r="L74" s="34"/>
      <c r="M74" s="34"/>
      <c r="N74" s="34"/>
    </row>
    <row r="75" spans="1:14" x14ac:dyDescent="0.25">
      <c r="A75" s="18">
        <v>69</v>
      </c>
      <c r="B75" s="18"/>
      <c r="C75" s="33"/>
      <c r="D75" s="33"/>
      <c r="E75" s="33"/>
      <c r="F75" s="33"/>
      <c r="G75" s="37" t="str">
        <f t="shared" si="10"/>
        <v/>
      </c>
      <c r="H75" s="37" t="str">
        <f t="shared" si="11"/>
        <v/>
      </c>
      <c r="I75" s="37" t="str">
        <f t="shared" si="12"/>
        <v/>
      </c>
      <c r="J75" s="37" t="str">
        <f t="shared" si="13"/>
        <v/>
      </c>
      <c r="K75" s="37" t="str">
        <f t="shared" si="14"/>
        <v/>
      </c>
      <c r="L75" s="34"/>
      <c r="M75" s="34"/>
      <c r="N75" s="34"/>
    </row>
    <row r="76" spans="1:14" x14ac:dyDescent="0.25">
      <c r="A76" s="18">
        <v>70</v>
      </c>
      <c r="B76" s="18"/>
      <c r="C76" s="33"/>
      <c r="D76" s="33"/>
      <c r="E76" s="33"/>
      <c r="F76" s="33"/>
      <c r="G76" s="37" t="str">
        <f t="shared" si="10"/>
        <v/>
      </c>
      <c r="H76" s="37" t="str">
        <f t="shared" si="11"/>
        <v/>
      </c>
      <c r="I76" s="37" t="str">
        <f t="shared" si="12"/>
        <v/>
      </c>
      <c r="J76" s="37" t="str">
        <f t="shared" si="13"/>
        <v/>
      </c>
      <c r="K76" s="37" t="str">
        <f t="shared" si="14"/>
        <v/>
      </c>
      <c r="L76" s="34"/>
      <c r="M76" s="34"/>
      <c r="N76" s="34"/>
    </row>
    <row r="77" spans="1:14" x14ac:dyDescent="0.25">
      <c r="A77" s="18">
        <v>71</v>
      </c>
      <c r="B77" s="18"/>
      <c r="C77" s="33"/>
      <c r="D77" s="33"/>
      <c r="E77" s="33"/>
      <c r="F77" s="33"/>
      <c r="G77" s="37" t="str">
        <f t="shared" si="10"/>
        <v/>
      </c>
      <c r="H77" s="37" t="str">
        <f t="shared" si="11"/>
        <v/>
      </c>
      <c r="I77" s="37" t="str">
        <f t="shared" si="12"/>
        <v/>
      </c>
      <c r="J77" s="37" t="str">
        <f t="shared" si="13"/>
        <v/>
      </c>
      <c r="K77" s="37" t="str">
        <f t="shared" si="14"/>
        <v/>
      </c>
      <c r="L77" s="34"/>
      <c r="M77" s="34"/>
      <c r="N77" s="34"/>
    </row>
    <row r="78" spans="1:14" x14ac:dyDescent="0.25">
      <c r="A78" s="18">
        <v>72</v>
      </c>
      <c r="B78" s="18"/>
      <c r="C78" s="33"/>
      <c r="D78" s="33"/>
      <c r="E78" s="33"/>
      <c r="F78" s="33"/>
      <c r="G78" s="37" t="str">
        <f t="shared" si="10"/>
        <v/>
      </c>
      <c r="H78" s="37" t="str">
        <f t="shared" si="11"/>
        <v/>
      </c>
      <c r="I78" s="37" t="str">
        <f t="shared" si="12"/>
        <v/>
      </c>
      <c r="J78" s="37" t="str">
        <f t="shared" si="13"/>
        <v/>
      </c>
      <c r="K78" s="37" t="str">
        <f t="shared" si="14"/>
        <v/>
      </c>
      <c r="L78" s="34"/>
      <c r="M78" s="34"/>
      <c r="N78" s="34"/>
    </row>
    <row r="79" spans="1:14" x14ac:dyDescent="0.25">
      <c r="A79" s="18">
        <v>73</v>
      </c>
      <c r="B79" s="18"/>
      <c r="C79" s="33"/>
      <c r="D79" s="33"/>
      <c r="E79" s="33"/>
      <c r="F79" s="33"/>
      <c r="G79" s="37" t="str">
        <f t="shared" si="10"/>
        <v/>
      </c>
      <c r="H79" s="37" t="str">
        <f t="shared" si="11"/>
        <v/>
      </c>
      <c r="I79" s="37" t="str">
        <f t="shared" si="12"/>
        <v/>
      </c>
      <c r="J79" s="37" t="str">
        <f t="shared" si="13"/>
        <v/>
      </c>
      <c r="K79" s="37" t="str">
        <f t="shared" si="14"/>
        <v/>
      </c>
      <c r="L79" s="34"/>
      <c r="M79" s="34"/>
      <c r="N79" s="34"/>
    </row>
    <row r="80" spans="1:14" x14ac:dyDescent="0.25">
      <c r="A80" s="18">
        <v>74</v>
      </c>
      <c r="B80" s="18"/>
      <c r="C80" s="33"/>
      <c r="D80" s="33"/>
      <c r="E80" s="33"/>
      <c r="F80" s="33"/>
      <c r="G80" s="37" t="str">
        <f t="shared" si="10"/>
        <v/>
      </c>
      <c r="H80" s="37" t="str">
        <f t="shared" si="11"/>
        <v/>
      </c>
      <c r="I80" s="37" t="str">
        <f t="shared" si="12"/>
        <v/>
      </c>
      <c r="J80" s="37" t="str">
        <f t="shared" si="13"/>
        <v/>
      </c>
      <c r="K80" s="37" t="str">
        <f t="shared" si="14"/>
        <v/>
      </c>
      <c r="L80" s="34"/>
      <c r="M80" s="34"/>
      <c r="N80" s="34"/>
    </row>
    <row r="81" spans="1:14" x14ac:dyDescent="0.25">
      <c r="A81" s="18">
        <v>75</v>
      </c>
      <c r="B81" s="18"/>
      <c r="C81" s="33"/>
      <c r="D81" s="33"/>
      <c r="E81" s="33"/>
      <c r="F81" s="33"/>
      <c r="G81" s="37" t="str">
        <f t="shared" si="10"/>
        <v/>
      </c>
      <c r="H81" s="37" t="str">
        <f t="shared" si="11"/>
        <v/>
      </c>
      <c r="I81" s="37" t="str">
        <f t="shared" si="12"/>
        <v/>
      </c>
      <c r="J81" s="37" t="str">
        <f t="shared" si="13"/>
        <v/>
      </c>
      <c r="K81" s="37" t="str">
        <f t="shared" si="14"/>
        <v/>
      </c>
      <c r="L81" s="34"/>
      <c r="M81" s="34"/>
      <c r="N81" s="34"/>
    </row>
    <row r="82" spans="1:14" x14ac:dyDescent="0.25">
      <c r="A82" s="18">
        <v>76</v>
      </c>
      <c r="B82" s="18"/>
      <c r="C82" s="33"/>
      <c r="D82" s="33"/>
      <c r="E82" s="33"/>
      <c r="F82" s="33"/>
      <c r="G82" s="37" t="str">
        <f t="shared" si="10"/>
        <v/>
      </c>
      <c r="H82" s="37" t="str">
        <f t="shared" si="11"/>
        <v/>
      </c>
      <c r="I82" s="37" t="str">
        <f t="shared" si="12"/>
        <v/>
      </c>
      <c r="J82" s="37" t="str">
        <f t="shared" si="13"/>
        <v/>
      </c>
      <c r="K82" s="37" t="str">
        <f t="shared" si="14"/>
        <v/>
      </c>
      <c r="L82" s="34"/>
      <c r="M82" s="34"/>
      <c r="N82" s="34"/>
    </row>
    <row r="83" spans="1:14" x14ac:dyDescent="0.25">
      <c r="A83" s="18">
        <v>77</v>
      </c>
      <c r="B83" s="18"/>
      <c r="C83" s="33"/>
      <c r="D83" s="33"/>
      <c r="E83" s="33"/>
      <c r="F83" s="33"/>
      <c r="G83" s="37" t="str">
        <f t="shared" si="10"/>
        <v/>
      </c>
      <c r="H83" s="37" t="str">
        <f t="shared" si="11"/>
        <v/>
      </c>
      <c r="I83" s="37" t="str">
        <f t="shared" si="12"/>
        <v/>
      </c>
      <c r="J83" s="37" t="str">
        <f t="shared" si="13"/>
        <v/>
      </c>
      <c r="K83" s="37" t="str">
        <f t="shared" si="14"/>
        <v/>
      </c>
      <c r="L83" s="34"/>
      <c r="M83" s="34"/>
      <c r="N83" s="34"/>
    </row>
    <row r="84" spans="1:14" x14ac:dyDescent="0.25">
      <c r="A84" s="18">
        <v>78</v>
      </c>
      <c r="B84" s="18"/>
      <c r="C84" s="33"/>
      <c r="D84" s="33"/>
      <c r="E84" s="33"/>
      <c r="F84" s="33"/>
      <c r="G84" s="37" t="str">
        <f t="shared" si="10"/>
        <v/>
      </c>
      <c r="H84" s="37" t="str">
        <f t="shared" si="11"/>
        <v/>
      </c>
      <c r="I84" s="37" t="str">
        <f t="shared" si="12"/>
        <v/>
      </c>
      <c r="J84" s="37" t="str">
        <f t="shared" si="13"/>
        <v/>
      </c>
      <c r="K84" s="37" t="str">
        <f t="shared" si="14"/>
        <v/>
      </c>
      <c r="L84" s="34"/>
      <c r="M84" s="34"/>
      <c r="N84" s="34"/>
    </row>
    <row r="85" spans="1:14" x14ac:dyDescent="0.25">
      <c r="A85" s="18">
        <v>79</v>
      </c>
      <c r="B85" s="18"/>
      <c r="C85" s="33"/>
      <c r="D85" s="33"/>
      <c r="E85" s="33"/>
      <c r="F85" s="33"/>
      <c r="G85" s="37" t="str">
        <f t="shared" si="10"/>
        <v/>
      </c>
      <c r="H85" s="37" t="str">
        <f t="shared" si="11"/>
        <v/>
      </c>
      <c r="I85" s="37" t="str">
        <f t="shared" si="12"/>
        <v/>
      </c>
      <c r="J85" s="37" t="str">
        <f t="shared" si="13"/>
        <v/>
      </c>
      <c r="K85" s="37" t="str">
        <f t="shared" si="14"/>
        <v/>
      </c>
      <c r="L85" s="34"/>
      <c r="M85" s="34"/>
      <c r="N85" s="34"/>
    </row>
    <row r="86" spans="1:14" x14ac:dyDescent="0.25">
      <c r="A86" s="18">
        <v>80</v>
      </c>
      <c r="B86" s="18"/>
      <c r="C86" s="33"/>
      <c r="D86" s="33"/>
      <c r="E86" s="33"/>
      <c r="F86" s="33"/>
      <c r="G86" s="37" t="str">
        <f t="shared" si="10"/>
        <v/>
      </c>
      <c r="H86" s="37" t="str">
        <f t="shared" si="11"/>
        <v/>
      </c>
      <c r="I86" s="37" t="str">
        <f t="shared" si="12"/>
        <v/>
      </c>
      <c r="J86" s="37" t="str">
        <f t="shared" si="13"/>
        <v/>
      </c>
      <c r="K86" s="37" t="str">
        <f t="shared" si="14"/>
        <v/>
      </c>
      <c r="L86" s="34"/>
      <c r="M86" s="34"/>
      <c r="N86" s="34"/>
    </row>
    <row r="87" spans="1:14" x14ac:dyDescent="0.25">
      <c r="A87" s="18">
        <v>81</v>
      </c>
      <c r="B87" s="18"/>
      <c r="C87" s="33"/>
      <c r="D87" s="33"/>
      <c r="E87" s="33"/>
      <c r="F87" s="33"/>
      <c r="G87" s="37" t="str">
        <f t="shared" si="10"/>
        <v/>
      </c>
      <c r="H87" s="37" t="str">
        <f t="shared" si="11"/>
        <v/>
      </c>
      <c r="I87" s="37" t="str">
        <f t="shared" si="12"/>
        <v/>
      </c>
      <c r="J87" s="37" t="str">
        <f t="shared" si="13"/>
        <v/>
      </c>
      <c r="K87" s="37" t="str">
        <f t="shared" si="14"/>
        <v/>
      </c>
      <c r="L87" s="34"/>
      <c r="M87" s="34"/>
      <c r="N87" s="34"/>
    </row>
    <row r="88" spans="1:14" x14ac:dyDescent="0.25">
      <c r="A88" s="18">
        <v>82</v>
      </c>
      <c r="B88" s="18"/>
      <c r="C88" s="33"/>
      <c r="D88" s="33"/>
      <c r="E88" s="33"/>
      <c r="F88" s="33"/>
      <c r="G88" s="37" t="str">
        <f t="shared" si="10"/>
        <v/>
      </c>
      <c r="H88" s="37" t="str">
        <f t="shared" si="11"/>
        <v/>
      </c>
      <c r="I88" s="37" t="str">
        <f t="shared" si="12"/>
        <v/>
      </c>
      <c r="J88" s="37" t="str">
        <f t="shared" si="13"/>
        <v/>
      </c>
      <c r="K88" s="37" t="str">
        <f t="shared" si="14"/>
        <v/>
      </c>
      <c r="L88" s="34"/>
      <c r="M88" s="34"/>
      <c r="N88" s="34"/>
    </row>
    <row r="89" spans="1:14" x14ac:dyDescent="0.25">
      <c r="A89" s="18">
        <v>83</v>
      </c>
      <c r="B89" s="18"/>
      <c r="C89" s="33"/>
      <c r="D89" s="33"/>
      <c r="E89" s="33"/>
      <c r="F89" s="33"/>
      <c r="G89" s="37" t="str">
        <f t="shared" si="10"/>
        <v/>
      </c>
      <c r="H89" s="37" t="str">
        <f t="shared" si="11"/>
        <v/>
      </c>
      <c r="I89" s="37" t="str">
        <f t="shared" si="12"/>
        <v/>
      </c>
      <c r="J89" s="37" t="str">
        <f t="shared" si="13"/>
        <v/>
      </c>
      <c r="K89" s="37" t="str">
        <f t="shared" si="14"/>
        <v/>
      </c>
      <c r="L89" s="34"/>
      <c r="M89" s="34"/>
      <c r="N89" s="34"/>
    </row>
    <row r="90" spans="1:14" x14ac:dyDescent="0.25">
      <c r="A90" s="18">
        <v>84</v>
      </c>
      <c r="B90" s="18"/>
      <c r="C90" s="33"/>
      <c r="D90" s="33"/>
      <c r="E90" s="33"/>
      <c r="F90" s="33"/>
      <c r="G90" s="37" t="str">
        <f t="shared" si="10"/>
        <v/>
      </c>
      <c r="H90" s="37" t="str">
        <f t="shared" si="11"/>
        <v/>
      </c>
      <c r="I90" s="37" t="str">
        <f t="shared" si="12"/>
        <v/>
      </c>
      <c r="J90" s="37" t="str">
        <f t="shared" si="13"/>
        <v/>
      </c>
      <c r="K90" s="37" t="str">
        <f t="shared" si="14"/>
        <v/>
      </c>
      <c r="L90" s="34"/>
      <c r="M90" s="34"/>
      <c r="N90" s="34"/>
    </row>
    <row r="91" spans="1:14" x14ac:dyDescent="0.25">
      <c r="A91" s="18">
        <v>85</v>
      </c>
      <c r="B91" s="18"/>
      <c r="C91" s="33"/>
      <c r="D91" s="33"/>
      <c r="E91" s="33"/>
      <c r="F91" s="33"/>
      <c r="G91" s="37" t="str">
        <f t="shared" si="10"/>
        <v/>
      </c>
      <c r="H91" s="37" t="str">
        <f t="shared" si="11"/>
        <v/>
      </c>
      <c r="I91" s="37" t="str">
        <f t="shared" si="12"/>
        <v/>
      </c>
      <c r="J91" s="37" t="str">
        <f t="shared" si="13"/>
        <v/>
      </c>
      <c r="K91" s="37" t="str">
        <f t="shared" si="14"/>
        <v/>
      </c>
      <c r="L91" s="34"/>
      <c r="M91" s="34"/>
      <c r="N91" s="34"/>
    </row>
    <row r="92" spans="1:14" x14ac:dyDescent="0.25">
      <c r="A92" s="18">
        <v>86</v>
      </c>
      <c r="B92" s="18"/>
      <c r="C92" s="33"/>
      <c r="D92" s="33"/>
      <c r="E92" s="33"/>
      <c r="F92" s="33"/>
      <c r="G92" s="37" t="str">
        <f t="shared" si="10"/>
        <v/>
      </c>
      <c r="H92" s="37" t="str">
        <f t="shared" si="11"/>
        <v/>
      </c>
      <c r="I92" s="37" t="str">
        <f t="shared" si="12"/>
        <v/>
      </c>
      <c r="J92" s="37" t="str">
        <f t="shared" si="13"/>
        <v/>
      </c>
      <c r="K92" s="37" t="str">
        <f t="shared" si="14"/>
        <v/>
      </c>
      <c r="L92" s="34"/>
      <c r="M92" s="34"/>
      <c r="N92" s="34"/>
    </row>
    <row r="93" spans="1:14" x14ac:dyDescent="0.25">
      <c r="A93" s="18">
        <v>87</v>
      </c>
      <c r="B93" s="18"/>
      <c r="C93" s="33"/>
      <c r="D93" s="33"/>
      <c r="E93" s="33"/>
      <c r="F93" s="33"/>
      <c r="G93" s="37" t="str">
        <f t="shared" si="10"/>
        <v/>
      </c>
      <c r="H93" s="37" t="str">
        <f t="shared" si="11"/>
        <v/>
      </c>
      <c r="I93" s="37" t="str">
        <f t="shared" si="12"/>
        <v/>
      </c>
      <c r="J93" s="37" t="str">
        <f t="shared" si="13"/>
        <v/>
      </c>
      <c r="K93" s="37" t="str">
        <f t="shared" si="14"/>
        <v/>
      </c>
      <c r="L93" s="34"/>
      <c r="M93" s="34"/>
      <c r="N93" s="34"/>
    </row>
    <row r="94" spans="1:14" x14ac:dyDescent="0.25">
      <c r="A94" s="18">
        <v>88</v>
      </c>
      <c r="B94" s="18"/>
      <c r="C94" s="33"/>
      <c r="D94" s="33"/>
      <c r="E94" s="33"/>
      <c r="F94" s="33"/>
      <c r="G94" s="37" t="str">
        <f t="shared" si="10"/>
        <v/>
      </c>
      <c r="H94" s="37" t="str">
        <f t="shared" si="11"/>
        <v/>
      </c>
      <c r="I94" s="37" t="str">
        <f t="shared" si="12"/>
        <v/>
      </c>
      <c r="J94" s="37" t="str">
        <f t="shared" si="13"/>
        <v/>
      </c>
      <c r="K94" s="37" t="str">
        <f t="shared" si="14"/>
        <v/>
      </c>
      <c r="L94" s="34"/>
      <c r="M94" s="34"/>
      <c r="N94" s="34"/>
    </row>
    <row r="95" spans="1:14" x14ac:dyDescent="0.25">
      <c r="A95" s="18">
        <v>89</v>
      </c>
      <c r="B95" s="18"/>
      <c r="C95" s="33"/>
      <c r="D95" s="33"/>
      <c r="E95" s="33"/>
      <c r="F95" s="33"/>
      <c r="G95" s="37" t="str">
        <f t="shared" si="10"/>
        <v/>
      </c>
      <c r="H95" s="37" t="str">
        <f t="shared" si="11"/>
        <v/>
      </c>
      <c r="I95" s="37" t="str">
        <f t="shared" si="12"/>
        <v/>
      </c>
      <c r="J95" s="37" t="str">
        <f t="shared" si="13"/>
        <v/>
      </c>
      <c r="K95" s="37" t="str">
        <f t="shared" si="14"/>
        <v/>
      </c>
      <c r="L95" s="34"/>
      <c r="M95" s="34"/>
      <c r="N95" s="34"/>
    </row>
    <row r="96" spans="1:14" x14ac:dyDescent="0.25">
      <c r="A96" s="18">
        <v>90</v>
      </c>
      <c r="B96" s="18"/>
      <c r="C96" s="33"/>
      <c r="D96" s="33"/>
      <c r="E96" s="33"/>
      <c r="F96" s="33"/>
      <c r="G96" s="37" t="str">
        <f t="shared" si="10"/>
        <v/>
      </c>
      <c r="H96" s="37" t="str">
        <f t="shared" si="11"/>
        <v/>
      </c>
      <c r="I96" s="37" t="str">
        <f t="shared" si="12"/>
        <v/>
      </c>
      <c r="J96" s="37" t="str">
        <f t="shared" si="13"/>
        <v/>
      </c>
      <c r="K96" s="37" t="str">
        <f t="shared" si="14"/>
        <v/>
      </c>
      <c r="L96" s="34"/>
      <c r="M96" s="34"/>
      <c r="N96" s="34"/>
    </row>
    <row r="97" spans="1:14" x14ac:dyDescent="0.25">
      <c r="A97" s="18">
        <v>91</v>
      </c>
      <c r="B97" s="18"/>
      <c r="C97" s="33"/>
      <c r="D97" s="33"/>
      <c r="E97" s="33"/>
      <c r="F97" s="33"/>
      <c r="G97" s="37" t="str">
        <f t="shared" si="10"/>
        <v/>
      </c>
      <c r="H97" s="37" t="str">
        <f t="shared" si="11"/>
        <v/>
      </c>
      <c r="I97" s="37" t="str">
        <f t="shared" si="12"/>
        <v/>
      </c>
      <c r="J97" s="37" t="str">
        <f t="shared" si="13"/>
        <v/>
      </c>
      <c r="K97" s="37" t="str">
        <f t="shared" si="14"/>
        <v/>
      </c>
      <c r="L97" s="34"/>
      <c r="M97" s="34"/>
      <c r="N97" s="34"/>
    </row>
    <row r="98" spans="1:14" x14ac:dyDescent="0.25">
      <c r="A98" s="18">
        <v>92</v>
      </c>
      <c r="B98" s="18"/>
      <c r="C98" s="33"/>
      <c r="D98" s="33"/>
      <c r="E98" s="33"/>
      <c r="F98" s="33"/>
      <c r="G98" s="37" t="str">
        <f t="shared" si="10"/>
        <v/>
      </c>
      <c r="H98" s="37" t="str">
        <f t="shared" si="11"/>
        <v/>
      </c>
      <c r="I98" s="37" t="str">
        <f t="shared" si="12"/>
        <v/>
      </c>
      <c r="J98" s="37" t="str">
        <f t="shared" si="13"/>
        <v/>
      </c>
      <c r="K98" s="37" t="str">
        <f t="shared" si="14"/>
        <v/>
      </c>
      <c r="L98" s="34"/>
      <c r="M98" s="34"/>
      <c r="N98" s="34"/>
    </row>
    <row r="99" spans="1:14" x14ac:dyDescent="0.25">
      <c r="A99" s="18">
        <v>93</v>
      </c>
      <c r="B99" s="18"/>
      <c r="C99" s="33"/>
      <c r="D99" s="33"/>
      <c r="E99" s="33"/>
      <c r="F99" s="33"/>
      <c r="G99" s="37" t="str">
        <f t="shared" si="10"/>
        <v/>
      </c>
      <c r="H99" s="37" t="str">
        <f t="shared" si="11"/>
        <v/>
      </c>
      <c r="I99" s="37" t="str">
        <f t="shared" si="12"/>
        <v/>
      </c>
      <c r="J99" s="37" t="str">
        <f t="shared" si="13"/>
        <v/>
      </c>
      <c r="K99" s="37" t="str">
        <f t="shared" si="14"/>
        <v/>
      </c>
      <c r="L99" s="34"/>
      <c r="M99" s="34"/>
      <c r="N99" s="34"/>
    </row>
    <row r="100" spans="1:14" x14ac:dyDescent="0.25">
      <c r="A100" s="18">
        <v>94</v>
      </c>
      <c r="B100" s="18"/>
      <c r="C100" s="33"/>
      <c r="D100" s="33"/>
      <c r="E100" s="33"/>
      <c r="F100" s="33"/>
      <c r="G100" s="37" t="str">
        <f t="shared" si="10"/>
        <v/>
      </c>
      <c r="H100" s="37" t="str">
        <f t="shared" si="11"/>
        <v/>
      </c>
      <c r="I100" s="37" t="str">
        <f t="shared" si="12"/>
        <v/>
      </c>
      <c r="J100" s="37" t="str">
        <f t="shared" si="13"/>
        <v/>
      </c>
      <c r="K100" s="37" t="str">
        <f t="shared" si="14"/>
        <v/>
      </c>
      <c r="L100" s="34"/>
      <c r="M100" s="34"/>
      <c r="N100" s="34"/>
    </row>
    <row r="101" spans="1:14" x14ac:dyDescent="0.25">
      <c r="A101" s="18">
        <v>95</v>
      </c>
      <c r="B101" s="18"/>
      <c r="C101" s="33"/>
      <c r="D101" s="33"/>
      <c r="E101" s="33"/>
      <c r="F101" s="33"/>
      <c r="G101" s="37" t="str">
        <f t="shared" si="10"/>
        <v/>
      </c>
      <c r="H101" s="37" t="str">
        <f t="shared" si="11"/>
        <v/>
      </c>
      <c r="I101" s="37" t="str">
        <f t="shared" si="12"/>
        <v/>
      </c>
      <c r="J101" s="37" t="str">
        <f t="shared" si="13"/>
        <v/>
      </c>
      <c r="K101" s="37" t="str">
        <f t="shared" si="14"/>
        <v/>
      </c>
      <c r="L101" s="34"/>
      <c r="M101" s="34"/>
      <c r="N101" s="34"/>
    </row>
    <row r="102" spans="1:14" x14ac:dyDescent="0.25">
      <c r="A102" s="18">
        <v>96</v>
      </c>
      <c r="B102" s="18"/>
      <c r="C102" s="33"/>
      <c r="D102" s="33"/>
      <c r="E102" s="33"/>
      <c r="F102" s="33"/>
      <c r="G102" s="37" t="str">
        <f t="shared" si="10"/>
        <v/>
      </c>
      <c r="H102" s="37" t="str">
        <f t="shared" si="11"/>
        <v/>
      </c>
      <c r="I102" s="37" t="str">
        <f t="shared" si="12"/>
        <v/>
      </c>
      <c r="J102" s="37" t="str">
        <f t="shared" si="13"/>
        <v/>
      </c>
      <c r="K102" s="37" t="str">
        <f t="shared" si="14"/>
        <v/>
      </c>
      <c r="L102" s="34"/>
      <c r="M102" s="34"/>
      <c r="N102" s="34"/>
    </row>
    <row r="103" spans="1:14" x14ac:dyDescent="0.25">
      <c r="A103" s="18">
        <v>97</v>
      </c>
      <c r="B103" s="18"/>
      <c r="C103" s="33"/>
      <c r="D103" s="33"/>
      <c r="E103" s="33"/>
      <c r="F103" s="33"/>
      <c r="G103" s="37" t="str">
        <f t="shared" ref="G103:G134" si="15">IF(E103="","",E103*SIN(RADIANS(D103)))</f>
        <v/>
      </c>
      <c r="H103" s="37" t="str">
        <f t="shared" ref="H103:H134" si="16">IF(E103="","",E103*COS(RADIANS(D103)))</f>
        <v/>
      </c>
      <c r="I103" s="37" t="str">
        <f t="shared" ref="I103:I134" si="17">IF(E103="","",N_base+G103*COS(RADIANS(C103)))</f>
        <v/>
      </c>
      <c r="J103" s="37" t="str">
        <f t="shared" ref="J103:J134" si="18">IF(E103="","",E_base+G103*SIN(RADIANS(C103)))</f>
        <v/>
      </c>
      <c r="K103" s="37" t="str">
        <f t="shared" ref="K103:K134" si="19">IF(E103="","",Z_base+hi_ET+H103-F103)</f>
        <v/>
      </c>
      <c r="L103" s="34"/>
      <c r="M103" s="34"/>
      <c r="N103" s="34"/>
    </row>
    <row r="104" spans="1:14" x14ac:dyDescent="0.25">
      <c r="A104" s="18">
        <v>98</v>
      </c>
      <c r="B104" s="18"/>
      <c r="C104" s="33"/>
      <c r="D104" s="33"/>
      <c r="E104" s="33"/>
      <c r="F104" s="33"/>
      <c r="G104" s="37" t="str">
        <f t="shared" si="15"/>
        <v/>
      </c>
      <c r="H104" s="37" t="str">
        <f t="shared" si="16"/>
        <v/>
      </c>
      <c r="I104" s="37" t="str">
        <f t="shared" si="17"/>
        <v/>
      </c>
      <c r="J104" s="37" t="str">
        <f t="shared" si="18"/>
        <v/>
      </c>
      <c r="K104" s="37" t="str">
        <f t="shared" si="19"/>
        <v/>
      </c>
      <c r="L104" s="34"/>
      <c r="M104" s="34"/>
      <c r="N104" s="34"/>
    </row>
    <row r="105" spans="1:14" x14ac:dyDescent="0.25">
      <c r="A105" s="18">
        <v>99</v>
      </c>
      <c r="B105" s="18"/>
      <c r="C105" s="33"/>
      <c r="D105" s="33"/>
      <c r="E105" s="33"/>
      <c r="F105" s="33"/>
      <c r="G105" s="37" t="str">
        <f t="shared" si="15"/>
        <v/>
      </c>
      <c r="H105" s="37" t="str">
        <f t="shared" si="16"/>
        <v/>
      </c>
      <c r="I105" s="37" t="str">
        <f t="shared" si="17"/>
        <v/>
      </c>
      <c r="J105" s="37" t="str">
        <f t="shared" si="18"/>
        <v/>
      </c>
      <c r="K105" s="37" t="str">
        <f t="shared" si="19"/>
        <v/>
      </c>
      <c r="L105" s="34"/>
      <c r="M105" s="34"/>
      <c r="N105" s="34"/>
    </row>
    <row r="106" spans="1:14" x14ac:dyDescent="0.25">
      <c r="A106" s="18">
        <v>100</v>
      </c>
      <c r="B106" s="18"/>
      <c r="C106" s="33"/>
      <c r="D106" s="33"/>
      <c r="E106" s="33"/>
      <c r="F106" s="33"/>
      <c r="G106" s="37" t="str">
        <f t="shared" si="15"/>
        <v/>
      </c>
      <c r="H106" s="37" t="str">
        <f t="shared" si="16"/>
        <v/>
      </c>
      <c r="I106" s="37" t="str">
        <f t="shared" si="17"/>
        <v/>
      </c>
      <c r="J106" s="37" t="str">
        <f t="shared" si="18"/>
        <v/>
      </c>
      <c r="K106" s="37" t="str">
        <f t="shared" si="19"/>
        <v/>
      </c>
      <c r="L106" s="34"/>
      <c r="M106" s="34"/>
      <c r="N106" s="34"/>
    </row>
    <row r="107" spans="1:14" x14ac:dyDescent="0.25">
      <c r="A107" s="18">
        <v>101</v>
      </c>
      <c r="B107" s="18"/>
      <c r="C107" s="33"/>
      <c r="D107" s="33"/>
      <c r="E107" s="33"/>
      <c r="F107" s="33"/>
      <c r="G107" s="37" t="str">
        <f t="shared" si="15"/>
        <v/>
      </c>
      <c r="H107" s="37" t="str">
        <f t="shared" si="16"/>
        <v/>
      </c>
      <c r="I107" s="37" t="str">
        <f t="shared" si="17"/>
        <v/>
      </c>
      <c r="J107" s="37" t="str">
        <f t="shared" si="18"/>
        <v/>
      </c>
      <c r="K107" s="37" t="str">
        <f t="shared" si="19"/>
        <v/>
      </c>
      <c r="L107" s="34"/>
      <c r="M107" s="34"/>
      <c r="N107" s="34"/>
    </row>
    <row r="108" spans="1:14" x14ac:dyDescent="0.25">
      <c r="A108" s="18">
        <v>102</v>
      </c>
      <c r="B108" s="18"/>
      <c r="C108" s="33"/>
      <c r="D108" s="33"/>
      <c r="E108" s="33"/>
      <c r="F108" s="33"/>
      <c r="G108" s="37" t="str">
        <f t="shared" si="15"/>
        <v/>
      </c>
      <c r="H108" s="37" t="str">
        <f t="shared" si="16"/>
        <v/>
      </c>
      <c r="I108" s="37" t="str">
        <f t="shared" si="17"/>
        <v/>
      </c>
      <c r="J108" s="37" t="str">
        <f t="shared" si="18"/>
        <v/>
      </c>
      <c r="K108" s="37" t="str">
        <f t="shared" si="19"/>
        <v/>
      </c>
      <c r="L108" s="34"/>
      <c r="M108" s="34"/>
      <c r="N108" s="34"/>
    </row>
    <row r="109" spans="1:14" x14ac:dyDescent="0.25">
      <c r="A109" s="18">
        <v>103</v>
      </c>
      <c r="B109" s="18"/>
      <c r="C109" s="33"/>
      <c r="D109" s="33"/>
      <c r="E109" s="33"/>
      <c r="F109" s="33"/>
      <c r="G109" s="37" t="str">
        <f t="shared" si="15"/>
        <v/>
      </c>
      <c r="H109" s="37" t="str">
        <f t="shared" si="16"/>
        <v/>
      </c>
      <c r="I109" s="37" t="str">
        <f t="shared" si="17"/>
        <v/>
      </c>
      <c r="J109" s="37" t="str">
        <f t="shared" si="18"/>
        <v/>
      </c>
      <c r="K109" s="37" t="str">
        <f t="shared" si="19"/>
        <v/>
      </c>
      <c r="L109" s="34"/>
      <c r="M109" s="34"/>
      <c r="N109" s="34"/>
    </row>
    <row r="110" spans="1:14" x14ac:dyDescent="0.25">
      <c r="A110" s="18">
        <v>104</v>
      </c>
      <c r="B110" s="18"/>
      <c r="C110" s="33"/>
      <c r="D110" s="33"/>
      <c r="E110" s="33"/>
      <c r="F110" s="33"/>
      <c r="G110" s="37" t="str">
        <f t="shared" si="15"/>
        <v/>
      </c>
      <c r="H110" s="37" t="str">
        <f t="shared" si="16"/>
        <v/>
      </c>
      <c r="I110" s="37" t="str">
        <f t="shared" si="17"/>
        <v/>
      </c>
      <c r="J110" s="37" t="str">
        <f t="shared" si="18"/>
        <v/>
      </c>
      <c r="K110" s="37" t="str">
        <f t="shared" si="19"/>
        <v/>
      </c>
      <c r="L110" s="34"/>
      <c r="M110" s="34"/>
      <c r="N110" s="34"/>
    </row>
    <row r="111" spans="1:14" x14ac:dyDescent="0.25">
      <c r="A111" s="18">
        <v>105</v>
      </c>
      <c r="B111" s="18"/>
      <c r="C111" s="33"/>
      <c r="D111" s="33"/>
      <c r="E111" s="33"/>
      <c r="F111" s="33"/>
      <c r="G111" s="37" t="str">
        <f t="shared" si="15"/>
        <v/>
      </c>
      <c r="H111" s="37" t="str">
        <f t="shared" si="16"/>
        <v/>
      </c>
      <c r="I111" s="37" t="str">
        <f t="shared" si="17"/>
        <v/>
      </c>
      <c r="J111" s="37" t="str">
        <f t="shared" si="18"/>
        <v/>
      </c>
      <c r="K111" s="37" t="str">
        <f t="shared" si="19"/>
        <v/>
      </c>
      <c r="L111" s="34"/>
      <c r="M111" s="34"/>
      <c r="N111" s="34"/>
    </row>
    <row r="112" spans="1:14" x14ac:dyDescent="0.25">
      <c r="A112" s="18">
        <v>106</v>
      </c>
      <c r="B112" s="18"/>
      <c r="C112" s="33"/>
      <c r="D112" s="33"/>
      <c r="E112" s="33"/>
      <c r="F112" s="33"/>
      <c r="G112" s="37" t="str">
        <f t="shared" si="15"/>
        <v/>
      </c>
      <c r="H112" s="37" t="str">
        <f t="shared" si="16"/>
        <v/>
      </c>
      <c r="I112" s="37" t="str">
        <f t="shared" si="17"/>
        <v/>
      </c>
      <c r="J112" s="37" t="str">
        <f t="shared" si="18"/>
        <v/>
      </c>
      <c r="K112" s="37" t="str">
        <f t="shared" si="19"/>
        <v/>
      </c>
      <c r="L112" s="34"/>
      <c r="M112" s="34"/>
      <c r="N112" s="34"/>
    </row>
    <row r="113" spans="1:14" x14ac:dyDescent="0.25">
      <c r="A113" s="18">
        <v>107</v>
      </c>
      <c r="B113" s="18"/>
      <c r="C113" s="33"/>
      <c r="D113" s="33"/>
      <c r="E113" s="33"/>
      <c r="F113" s="33"/>
      <c r="G113" s="37" t="str">
        <f t="shared" si="15"/>
        <v/>
      </c>
      <c r="H113" s="37" t="str">
        <f t="shared" si="16"/>
        <v/>
      </c>
      <c r="I113" s="37" t="str">
        <f t="shared" si="17"/>
        <v/>
      </c>
      <c r="J113" s="37" t="str">
        <f t="shared" si="18"/>
        <v/>
      </c>
      <c r="K113" s="37" t="str">
        <f t="shared" si="19"/>
        <v/>
      </c>
      <c r="L113" s="34"/>
      <c r="M113" s="34"/>
      <c r="N113" s="34"/>
    </row>
    <row r="114" spans="1:14" x14ac:dyDescent="0.25">
      <c r="A114" s="18">
        <v>108</v>
      </c>
      <c r="B114" s="18"/>
      <c r="C114" s="33"/>
      <c r="D114" s="33"/>
      <c r="E114" s="33"/>
      <c r="F114" s="33"/>
      <c r="G114" s="37" t="str">
        <f t="shared" si="15"/>
        <v/>
      </c>
      <c r="H114" s="37" t="str">
        <f t="shared" si="16"/>
        <v/>
      </c>
      <c r="I114" s="37" t="str">
        <f t="shared" si="17"/>
        <v/>
      </c>
      <c r="J114" s="37" t="str">
        <f t="shared" si="18"/>
        <v/>
      </c>
      <c r="K114" s="37" t="str">
        <f t="shared" si="19"/>
        <v/>
      </c>
      <c r="L114" s="34"/>
      <c r="M114" s="34"/>
      <c r="N114" s="34"/>
    </row>
    <row r="115" spans="1:14" x14ac:dyDescent="0.25">
      <c r="A115" s="18">
        <v>109</v>
      </c>
      <c r="B115" s="18"/>
      <c r="C115" s="33"/>
      <c r="D115" s="33"/>
      <c r="E115" s="33"/>
      <c r="F115" s="33"/>
      <c r="G115" s="37" t="str">
        <f t="shared" si="15"/>
        <v/>
      </c>
      <c r="H115" s="37" t="str">
        <f t="shared" si="16"/>
        <v/>
      </c>
      <c r="I115" s="37" t="str">
        <f t="shared" si="17"/>
        <v/>
      </c>
      <c r="J115" s="37" t="str">
        <f t="shared" si="18"/>
        <v/>
      </c>
      <c r="K115" s="37" t="str">
        <f t="shared" si="19"/>
        <v/>
      </c>
      <c r="L115" s="34"/>
      <c r="M115" s="34"/>
      <c r="N115" s="34"/>
    </row>
    <row r="116" spans="1:14" x14ac:dyDescent="0.25">
      <c r="A116" s="18">
        <v>110</v>
      </c>
      <c r="B116" s="18"/>
      <c r="C116" s="33"/>
      <c r="D116" s="33"/>
      <c r="E116" s="33"/>
      <c r="F116" s="33"/>
      <c r="G116" s="37" t="str">
        <f t="shared" si="15"/>
        <v/>
      </c>
      <c r="H116" s="37" t="str">
        <f t="shared" si="16"/>
        <v/>
      </c>
      <c r="I116" s="37" t="str">
        <f t="shared" si="17"/>
        <v/>
      </c>
      <c r="J116" s="37" t="str">
        <f t="shared" si="18"/>
        <v/>
      </c>
      <c r="K116" s="37" t="str">
        <f t="shared" si="19"/>
        <v/>
      </c>
      <c r="L116" s="34"/>
      <c r="M116" s="34"/>
      <c r="N116" s="34"/>
    </row>
    <row r="117" spans="1:14" x14ac:dyDescent="0.25">
      <c r="A117" s="18">
        <v>111</v>
      </c>
      <c r="B117" s="18"/>
      <c r="C117" s="33"/>
      <c r="D117" s="33"/>
      <c r="E117" s="33"/>
      <c r="F117" s="33"/>
      <c r="G117" s="37" t="str">
        <f t="shared" si="15"/>
        <v/>
      </c>
      <c r="H117" s="37" t="str">
        <f t="shared" si="16"/>
        <v/>
      </c>
      <c r="I117" s="37" t="str">
        <f t="shared" si="17"/>
        <v/>
      </c>
      <c r="J117" s="37" t="str">
        <f t="shared" si="18"/>
        <v/>
      </c>
      <c r="K117" s="37" t="str">
        <f t="shared" si="19"/>
        <v/>
      </c>
      <c r="L117" s="34"/>
      <c r="M117" s="34"/>
      <c r="N117" s="34"/>
    </row>
    <row r="118" spans="1:14" x14ac:dyDescent="0.25">
      <c r="A118" s="18">
        <v>112</v>
      </c>
      <c r="B118" s="18"/>
      <c r="C118" s="33"/>
      <c r="D118" s="33"/>
      <c r="E118" s="33"/>
      <c r="F118" s="33"/>
      <c r="G118" s="37" t="str">
        <f t="shared" si="15"/>
        <v/>
      </c>
      <c r="H118" s="37" t="str">
        <f t="shared" si="16"/>
        <v/>
      </c>
      <c r="I118" s="37" t="str">
        <f t="shared" si="17"/>
        <v/>
      </c>
      <c r="J118" s="37" t="str">
        <f t="shared" si="18"/>
        <v/>
      </c>
      <c r="K118" s="37" t="str">
        <f t="shared" si="19"/>
        <v/>
      </c>
      <c r="L118" s="34"/>
      <c r="M118" s="34"/>
      <c r="N118" s="34"/>
    </row>
    <row r="119" spans="1:14" x14ac:dyDescent="0.25">
      <c r="A119" s="18">
        <v>113</v>
      </c>
      <c r="B119" s="18"/>
      <c r="C119" s="33"/>
      <c r="D119" s="33"/>
      <c r="E119" s="33"/>
      <c r="F119" s="33"/>
      <c r="G119" s="37" t="str">
        <f t="shared" si="15"/>
        <v/>
      </c>
      <c r="H119" s="37" t="str">
        <f t="shared" si="16"/>
        <v/>
      </c>
      <c r="I119" s="37" t="str">
        <f t="shared" si="17"/>
        <v/>
      </c>
      <c r="J119" s="37" t="str">
        <f t="shared" si="18"/>
        <v/>
      </c>
      <c r="K119" s="37" t="str">
        <f t="shared" si="19"/>
        <v/>
      </c>
      <c r="L119" s="34"/>
      <c r="M119" s="34"/>
      <c r="N119" s="34"/>
    </row>
    <row r="120" spans="1:14" x14ac:dyDescent="0.25">
      <c r="A120" s="18">
        <v>114</v>
      </c>
      <c r="B120" s="18"/>
      <c r="C120" s="33"/>
      <c r="D120" s="33"/>
      <c r="E120" s="33"/>
      <c r="F120" s="33"/>
      <c r="G120" s="37" t="str">
        <f t="shared" si="15"/>
        <v/>
      </c>
      <c r="H120" s="37" t="str">
        <f t="shared" si="16"/>
        <v/>
      </c>
      <c r="I120" s="37" t="str">
        <f t="shared" si="17"/>
        <v/>
      </c>
      <c r="J120" s="37" t="str">
        <f t="shared" si="18"/>
        <v/>
      </c>
      <c r="K120" s="37" t="str">
        <f t="shared" si="19"/>
        <v/>
      </c>
      <c r="L120" s="34"/>
      <c r="M120" s="34"/>
      <c r="N120" s="34"/>
    </row>
    <row r="121" spans="1:14" x14ac:dyDescent="0.25">
      <c r="A121" s="18">
        <v>115</v>
      </c>
      <c r="B121" s="18"/>
      <c r="C121" s="33"/>
      <c r="D121" s="33"/>
      <c r="E121" s="33"/>
      <c r="F121" s="33"/>
      <c r="G121" s="37" t="str">
        <f t="shared" si="15"/>
        <v/>
      </c>
      <c r="H121" s="37" t="str">
        <f t="shared" si="16"/>
        <v/>
      </c>
      <c r="I121" s="37" t="str">
        <f t="shared" si="17"/>
        <v/>
      </c>
      <c r="J121" s="37" t="str">
        <f t="shared" si="18"/>
        <v/>
      </c>
      <c r="K121" s="37" t="str">
        <f t="shared" si="19"/>
        <v/>
      </c>
      <c r="L121" s="34"/>
      <c r="M121" s="34"/>
      <c r="N121" s="34"/>
    </row>
    <row r="122" spans="1:14" x14ac:dyDescent="0.25">
      <c r="A122" s="18">
        <v>116</v>
      </c>
      <c r="B122" s="18"/>
      <c r="C122" s="33"/>
      <c r="D122" s="33"/>
      <c r="E122" s="33"/>
      <c r="F122" s="33"/>
      <c r="G122" s="37" t="str">
        <f t="shared" si="15"/>
        <v/>
      </c>
      <c r="H122" s="37" t="str">
        <f t="shared" si="16"/>
        <v/>
      </c>
      <c r="I122" s="37" t="str">
        <f t="shared" si="17"/>
        <v/>
      </c>
      <c r="J122" s="37" t="str">
        <f t="shared" si="18"/>
        <v/>
      </c>
      <c r="K122" s="37" t="str">
        <f t="shared" si="19"/>
        <v/>
      </c>
      <c r="L122" s="34"/>
      <c r="M122" s="34"/>
      <c r="N122" s="34"/>
    </row>
    <row r="123" spans="1:14" x14ac:dyDescent="0.25">
      <c r="A123" s="18">
        <v>117</v>
      </c>
      <c r="B123" s="18"/>
      <c r="C123" s="33"/>
      <c r="D123" s="33"/>
      <c r="E123" s="33"/>
      <c r="F123" s="33"/>
      <c r="G123" s="37" t="str">
        <f t="shared" si="15"/>
        <v/>
      </c>
      <c r="H123" s="37" t="str">
        <f t="shared" si="16"/>
        <v/>
      </c>
      <c r="I123" s="37" t="str">
        <f t="shared" si="17"/>
        <v/>
      </c>
      <c r="J123" s="37" t="str">
        <f t="shared" si="18"/>
        <v/>
      </c>
      <c r="K123" s="37" t="str">
        <f t="shared" si="19"/>
        <v/>
      </c>
      <c r="L123" s="34"/>
      <c r="M123" s="34"/>
      <c r="N123" s="34"/>
    </row>
    <row r="124" spans="1:14" x14ac:dyDescent="0.25">
      <c r="A124" s="18">
        <v>118</v>
      </c>
      <c r="B124" s="18"/>
      <c r="C124" s="33"/>
      <c r="D124" s="33"/>
      <c r="E124" s="33"/>
      <c r="F124" s="33"/>
      <c r="G124" s="37" t="str">
        <f t="shared" si="15"/>
        <v/>
      </c>
      <c r="H124" s="37" t="str">
        <f t="shared" si="16"/>
        <v/>
      </c>
      <c r="I124" s="37" t="str">
        <f t="shared" si="17"/>
        <v/>
      </c>
      <c r="J124" s="37" t="str">
        <f t="shared" si="18"/>
        <v/>
      </c>
      <c r="K124" s="37" t="str">
        <f t="shared" si="19"/>
        <v/>
      </c>
      <c r="L124" s="34"/>
      <c r="M124" s="34"/>
      <c r="N124" s="34"/>
    </row>
    <row r="125" spans="1:14" x14ac:dyDescent="0.25">
      <c r="A125" s="18">
        <v>119</v>
      </c>
      <c r="B125" s="18"/>
      <c r="C125" s="33"/>
      <c r="D125" s="33"/>
      <c r="E125" s="33"/>
      <c r="F125" s="33"/>
      <c r="G125" s="37" t="str">
        <f t="shared" si="15"/>
        <v/>
      </c>
      <c r="H125" s="37" t="str">
        <f t="shared" si="16"/>
        <v/>
      </c>
      <c r="I125" s="37" t="str">
        <f t="shared" si="17"/>
        <v/>
      </c>
      <c r="J125" s="37" t="str">
        <f t="shared" si="18"/>
        <v/>
      </c>
      <c r="K125" s="37" t="str">
        <f t="shared" si="19"/>
        <v/>
      </c>
      <c r="L125" s="34"/>
      <c r="M125" s="34"/>
      <c r="N125" s="34"/>
    </row>
    <row r="126" spans="1:14" x14ac:dyDescent="0.25">
      <c r="A126" s="18">
        <v>120</v>
      </c>
      <c r="B126" s="18"/>
      <c r="C126" s="33"/>
      <c r="D126" s="33"/>
      <c r="E126" s="33"/>
      <c r="F126" s="33"/>
      <c r="G126" s="37" t="str">
        <f t="shared" si="15"/>
        <v/>
      </c>
      <c r="H126" s="37" t="str">
        <f t="shared" si="16"/>
        <v/>
      </c>
      <c r="I126" s="37" t="str">
        <f t="shared" si="17"/>
        <v/>
      </c>
      <c r="J126" s="37" t="str">
        <f t="shared" si="18"/>
        <v/>
      </c>
      <c r="K126" s="37" t="str">
        <f t="shared" si="19"/>
        <v/>
      </c>
      <c r="L126" s="34"/>
      <c r="M126" s="34"/>
      <c r="N126" s="34"/>
    </row>
    <row r="127" spans="1:14" x14ac:dyDescent="0.25">
      <c r="A127" s="18">
        <v>121</v>
      </c>
      <c r="B127" s="18"/>
      <c r="C127" s="33"/>
      <c r="D127" s="33"/>
      <c r="E127" s="33"/>
      <c r="F127" s="33"/>
      <c r="G127" s="37" t="str">
        <f t="shared" si="15"/>
        <v/>
      </c>
      <c r="H127" s="37" t="str">
        <f t="shared" si="16"/>
        <v/>
      </c>
      <c r="I127" s="37" t="str">
        <f t="shared" si="17"/>
        <v/>
      </c>
      <c r="J127" s="37" t="str">
        <f t="shared" si="18"/>
        <v/>
      </c>
      <c r="K127" s="37" t="str">
        <f t="shared" si="19"/>
        <v/>
      </c>
      <c r="L127" s="34"/>
      <c r="M127" s="34"/>
      <c r="N127" s="34"/>
    </row>
    <row r="128" spans="1:14" x14ac:dyDescent="0.25">
      <c r="A128" s="18">
        <v>122</v>
      </c>
      <c r="B128" s="18"/>
      <c r="C128" s="33"/>
      <c r="D128" s="33"/>
      <c r="E128" s="33"/>
      <c r="F128" s="33"/>
      <c r="G128" s="37" t="str">
        <f t="shared" si="15"/>
        <v/>
      </c>
      <c r="H128" s="37" t="str">
        <f t="shared" si="16"/>
        <v/>
      </c>
      <c r="I128" s="37" t="str">
        <f t="shared" si="17"/>
        <v/>
      </c>
      <c r="J128" s="37" t="str">
        <f t="shared" si="18"/>
        <v/>
      </c>
      <c r="K128" s="37" t="str">
        <f t="shared" si="19"/>
        <v/>
      </c>
      <c r="L128" s="34"/>
      <c r="M128" s="34"/>
      <c r="N128" s="34"/>
    </row>
    <row r="129" spans="1:14" x14ac:dyDescent="0.25">
      <c r="A129" s="18">
        <v>123</v>
      </c>
      <c r="B129" s="18"/>
      <c r="C129" s="33"/>
      <c r="D129" s="33"/>
      <c r="E129" s="33"/>
      <c r="F129" s="33"/>
      <c r="G129" s="37" t="str">
        <f t="shared" si="15"/>
        <v/>
      </c>
      <c r="H129" s="37" t="str">
        <f t="shared" si="16"/>
        <v/>
      </c>
      <c r="I129" s="37" t="str">
        <f t="shared" si="17"/>
        <v/>
      </c>
      <c r="J129" s="37" t="str">
        <f t="shared" si="18"/>
        <v/>
      </c>
      <c r="K129" s="37" t="str">
        <f t="shared" si="19"/>
        <v/>
      </c>
      <c r="L129" s="34"/>
      <c r="M129" s="34"/>
      <c r="N129" s="34"/>
    </row>
    <row r="130" spans="1:14" x14ac:dyDescent="0.25">
      <c r="A130" s="18">
        <v>124</v>
      </c>
      <c r="B130" s="18"/>
      <c r="C130" s="33"/>
      <c r="D130" s="33"/>
      <c r="E130" s="33"/>
      <c r="F130" s="33"/>
      <c r="G130" s="37" t="str">
        <f t="shared" si="15"/>
        <v/>
      </c>
      <c r="H130" s="37" t="str">
        <f t="shared" si="16"/>
        <v/>
      </c>
      <c r="I130" s="37" t="str">
        <f t="shared" si="17"/>
        <v/>
      </c>
      <c r="J130" s="37" t="str">
        <f t="shared" si="18"/>
        <v/>
      </c>
      <c r="K130" s="37" t="str">
        <f t="shared" si="19"/>
        <v/>
      </c>
      <c r="L130" s="34"/>
      <c r="M130" s="34"/>
      <c r="N130" s="34"/>
    </row>
    <row r="131" spans="1:14" x14ac:dyDescent="0.25">
      <c r="A131" s="18">
        <v>125</v>
      </c>
      <c r="B131" s="18"/>
      <c r="C131" s="33"/>
      <c r="D131" s="33"/>
      <c r="E131" s="33"/>
      <c r="F131" s="33"/>
      <c r="G131" s="37" t="str">
        <f t="shared" si="15"/>
        <v/>
      </c>
      <c r="H131" s="37" t="str">
        <f t="shared" si="16"/>
        <v/>
      </c>
      <c r="I131" s="37" t="str">
        <f t="shared" si="17"/>
        <v/>
      </c>
      <c r="J131" s="37" t="str">
        <f t="shared" si="18"/>
        <v/>
      </c>
      <c r="K131" s="37" t="str">
        <f t="shared" si="19"/>
        <v/>
      </c>
      <c r="L131" s="34"/>
      <c r="M131" s="34"/>
      <c r="N131" s="34"/>
    </row>
    <row r="132" spans="1:14" x14ac:dyDescent="0.25">
      <c r="A132" s="18">
        <v>126</v>
      </c>
      <c r="B132" s="18"/>
      <c r="C132" s="33"/>
      <c r="D132" s="33"/>
      <c r="E132" s="33"/>
      <c r="F132" s="33"/>
      <c r="G132" s="37" t="str">
        <f t="shared" si="15"/>
        <v/>
      </c>
      <c r="H132" s="37" t="str">
        <f t="shared" si="16"/>
        <v/>
      </c>
      <c r="I132" s="37" t="str">
        <f t="shared" si="17"/>
        <v/>
      </c>
      <c r="J132" s="37" t="str">
        <f t="shared" si="18"/>
        <v/>
      </c>
      <c r="K132" s="37" t="str">
        <f t="shared" si="19"/>
        <v/>
      </c>
      <c r="L132" s="34"/>
      <c r="M132" s="34"/>
      <c r="N132" s="34"/>
    </row>
    <row r="133" spans="1:14" x14ac:dyDescent="0.25">
      <c r="A133" s="18">
        <v>127</v>
      </c>
      <c r="B133" s="18"/>
      <c r="C133" s="33"/>
      <c r="D133" s="33"/>
      <c r="E133" s="33"/>
      <c r="F133" s="33"/>
      <c r="G133" s="37" t="str">
        <f t="shared" si="15"/>
        <v/>
      </c>
      <c r="H133" s="37" t="str">
        <f t="shared" si="16"/>
        <v/>
      </c>
      <c r="I133" s="37" t="str">
        <f t="shared" si="17"/>
        <v/>
      </c>
      <c r="J133" s="37" t="str">
        <f t="shared" si="18"/>
        <v/>
      </c>
      <c r="K133" s="37" t="str">
        <f t="shared" si="19"/>
        <v/>
      </c>
      <c r="L133" s="34"/>
      <c r="M133" s="34"/>
      <c r="N133" s="34"/>
    </row>
    <row r="134" spans="1:14" x14ac:dyDescent="0.25">
      <c r="A134" s="18">
        <v>128</v>
      </c>
      <c r="B134" s="18"/>
      <c r="C134" s="33"/>
      <c r="D134" s="33"/>
      <c r="E134" s="33"/>
      <c r="F134" s="33"/>
      <c r="G134" s="37" t="str">
        <f t="shared" si="15"/>
        <v/>
      </c>
      <c r="H134" s="37" t="str">
        <f t="shared" si="16"/>
        <v/>
      </c>
      <c r="I134" s="37" t="str">
        <f t="shared" si="17"/>
        <v/>
      </c>
      <c r="J134" s="37" t="str">
        <f t="shared" si="18"/>
        <v/>
      </c>
      <c r="K134" s="37" t="str">
        <f t="shared" si="19"/>
        <v/>
      </c>
      <c r="L134" s="34"/>
      <c r="M134" s="34"/>
      <c r="N134" s="34"/>
    </row>
    <row r="135" spans="1:14" x14ac:dyDescent="0.25">
      <c r="A135" s="18">
        <v>129</v>
      </c>
      <c r="B135" s="18"/>
      <c r="C135" s="33"/>
      <c r="D135" s="33"/>
      <c r="E135" s="33"/>
      <c r="F135" s="33"/>
      <c r="G135" s="37" t="str">
        <f t="shared" ref="G135:G166" si="20">IF(E135="","",E135*SIN(RADIANS(D135)))</f>
        <v/>
      </c>
      <c r="H135" s="37" t="str">
        <f t="shared" ref="H135:H166" si="21">IF(E135="","",E135*COS(RADIANS(D135)))</f>
        <v/>
      </c>
      <c r="I135" s="37" t="str">
        <f t="shared" ref="I135:I166" si="22">IF(E135="","",N_base+G135*COS(RADIANS(C135)))</f>
        <v/>
      </c>
      <c r="J135" s="37" t="str">
        <f t="shared" ref="J135:J166" si="23">IF(E135="","",E_base+G135*SIN(RADIANS(C135)))</f>
        <v/>
      </c>
      <c r="K135" s="37" t="str">
        <f t="shared" ref="K135:K166" si="24">IF(E135="","",Z_base+hi_ET+H135-F135)</f>
        <v/>
      </c>
      <c r="L135" s="34"/>
      <c r="M135" s="34"/>
      <c r="N135" s="34"/>
    </row>
    <row r="136" spans="1:14" x14ac:dyDescent="0.25">
      <c r="A136" s="18">
        <v>130</v>
      </c>
      <c r="B136" s="18"/>
      <c r="C136" s="33"/>
      <c r="D136" s="33"/>
      <c r="E136" s="33"/>
      <c r="F136" s="33"/>
      <c r="G136" s="37" t="str">
        <f t="shared" si="20"/>
        <v/>
      </c>
      <c r="H136" s="37" t="str">
        <f t="shared" si="21"/>
        <v/>
      </c>
      <c r="I136" s="37" t="str">
        <f t="shared" si="22"/>
        <v/>
      </c>
      <c r="J136" s="37" t="str">
        <f t="shared" si="23"/>
        <v/>
      </c>
      <c r="K136" s="37" t="str">
        <f t="shared" si="24"/>
        <v/>
      </c>
      <c r="L136" s="34"/>
      <c r="M136" s="34"/>
      <c r="N136" s="34"/>
    </row>
    <row r="137" spans="1:14" x14ac:dyDescent="0.25">
      <c r="A137" s="18">
        <v>131</v>
      </c>
      <c r="B137" s="18"/>
      <c r="C137" s="33"/>
      <c r="D137" s="33"/>
      <c r="E137" s="33"/>
      <c r="F137" s="33"/>
      <c r="G137" s="37" t="str">
        <f t="shared" si="20"/>
        <v/>
      </c>
      <c r="H137" s="37" t="str">
        <f t="shared" si="21"/>
        <v/>
      </c>
      <c r="I137" s="37" t="str">
        <f t="shared" si="22"/>
        <v/>
      </c>
      <c r="J137" s="37" t="str">
        <f t="shared" si="23"/>
        <v/>
      </c>
      <c r="K137" s="37" t="str">
        <f t="shared" si="24"/>
        <v/>
      </c>
      <c r="L137" s="34"/>
      <c r="M137" s="34"/>
      <c r="N137" s="34"/>
    </row>
    <row r="138" spans="1:14" x14ac:dyDescent="0.25">
      <c r="A138" s="18">
        <v>132</v>
      </c>
      <c r="B138" s="18"/>
      <c r="C138" s="33"/>
      <c r="D138" s="33"/>
      <c r="E138" s="33"/>
      <c r="F138" s="33"/>
      <c r="G138" s="37" t="str">
        <f t="shared" si="20"/>
        <v/>
      </c>
      <c r="H138" s="37" t="str">
        <f t="shared" si="21"/>
        <v/>
      </c>
      <c r="I138" s="37" t="str">
        <f t="shared" si="22"/>
        <v/>
      </c>
      <c r="J138" s="37" t="str">
        <f t="shared" si="23"/>
        <v/>
      </c>
      <c r="K138" s="37" t="str">
        <f t="shared" si="24"/>
        <v/>
      </c>
      <c r="L138" s="34"/>
      <c r="M138" s="34"/>
      <c r="N138" s="34"/>
    </row>
    <row r="139" spans="1:14" x14ac:dyDescent="0.25">
      <c r="A139" s="18">
        <v>133</v>
      </c>
      <c r="B139" s="18"/>
      <c r="C139" s="33"/>
      <c r="D139" s="33"/>
      <c r="E139" s="33"/>
      <c r="F139" s="33"/>
      <c r="G139" s="37" t="str">
        <f t="shared" si="20"/>
        <v/>
      </c>
      <c r="H139" s="37" t="str">
        <f t="shared" si="21"/>
        <v/>
      </c>
      <c r="I139" s="37" t="str">
        <f t="shared" si="22"/>
        <v/>
      </c>
      <c r="J139" s="37" t="str">
        <f t="shared" si="23"/>
        <v/>
      </c>
      <c r="K139" s="37" t="str">
        <f t="shared" si="24"/>
        <v/>
      </c>
      <c r="L139" s="34"/>
      <c r="M139" s="34"/>
      <c r="N139" s="34"/>
    </row>
    <row r="140" spans="1:14" x14ac:dyDescent="0.25">
      <c r="A140" s="18">
        <v>134</v>
      </c>
      <c r="B140" s="18"/>
      <c r="C140" s="33"/>
      <c r="D140" s="33"/>
      <c r="E140" s="33"/>
      <c r="F140" s="33"/>
      <c r="G140" s="37" t="str">
        <f t="shared" si="20"/>
        <v/>
      </c>
      <c r="H140" s="37" t="str">
        <f t="shared" si="21"/>
        <v/>
      </c>
      <c r="I140" s="37" t="str">
        <f t="shared" si="22"/>
        <v/>
      </c>
      <c r="J140" s="37" t="str">
        <f t="shared" si="23"/>
        <v/>
      </c>
      <c r="K140" s="37" t="str">
        <f t="shared" si="24"/>
        <v/>
      </c>
      <c r="L140" s="34"/>
      <c r="M140" s="34"/>
      <c r="N140" s="34"/>
    </row>
    <row r="141" spans="1:14" x14ac:dyDescent="0.25">
      <c r="A141" s="18">
        <v>135</v>
      </c>
      <c r="B141" s="18"/>
      <c r="C141" s="33"/>
      <c r="D141" s="33"/>
      <c r="E141" s="33"/>
      <c r="F141" s="33"/>
      <c r="G141" s="37" t="str">
        <f t="shared" si="20"/>
        <v/>
      </c>
      <c r="H141" s="37" t="str">
        <f t="shared" si="21"/>
        <v/>
      </c>
      <c r="I141" s="37" t="str">
        <f t="shared" si="22"/>
        <v/>
      </c>
      <c r="J141" s="37" t="str">
        <f t="shared" si="23"/>
        <v/>
      </c>
      <c r="K141" s="37" t="str">
        <f t="shared" si="24"/>
        <v/>
      </c>
      <c r="L141" s="34"/>
      <c r="M141" s="34"/>
      <c r="N141" s="34"/>
    </row>
    <row r="142" spans="1:14" x14ac:dyDescent="0.25">
      <c r="A142" s="18">
        <v>136</v>
      </c>
      <c r="B142" s="18"/>
      <c r="C142" s="33"/>
      <c r="D142" s="33"/>
      <c r="E142" s="33"/>
      <c r="F142" s="33"/>
      <c r="G142" s="37" t="str">
        <f t="shared" si="20"/>
        <v/>
      </c>
      <c r="H142" s="37" t="str">
        <f t="shared" si="21"/>
        <v/>
      </c>
      <c r="I142" s="37" t="str">
        <f t="shared" si="22"/>
        <v/>
      </c>
      <c r="J142" s="37" t="str">
        <f t="shared" si="23"/>
        <v/>
      </c>
      <c r="K142" s="37" t="str">
        <f t="shared" si="24"/>
        <v/>
      </c>
      <c r="L142" s="34"/>
      <c r="M142" s="34"/>
      <c r="N142" s="34"/>
    </row>
    <row r="143" spans="1:14" x14ac:dyDescent="0.25">
      <c r="A143" s="18">
        <v>137</v>
      </c>
      <c r="B143" s="18"/>
      <c r="C143" s="33"/>
      <c r="D143" s="33"/>
      <c r="E143" s="33"/>
      <c r="F143" s="33"/>
      <c r="G143" s="37" t="str">
        <f t="shared" si="20"/>
        <v/>
      </c>
      <c r="H143" s="37" t="str">
        <f t="shared" si="21"/>
        <v/>
      </c>
      <c r="I143" s="37" t="str">
        <f t="shared" si="22"/>
        <v/>
      </c>
      <c r="J143" s="37" t="str">
        <f t="shared" si="23"/>
        <v/>
      </c>
      <c r="K143" s="37" t="str">
        <f t="shared" si="24"/>
        <v/>
      </c>
      <c r="L143" s="34"/>
      <c r="M143" s="34"/>
      <c r="N143" s="34"/>
    </row>
    <row r="144" spans="1:14" x14ac:dyDescent="0.25">
      <c r="A144" s="18">
        <v>138</v>
      </c>
      <c r="B144" s="18"/>
      <c r="C144" s="33"/>
      <c r="D144" s="33"/>
      <c r="E144" s="33"/>
      <c r="F144" s="33"/>
      <c r="G144" s="37" t="str">
        <f t="shared" si="20"/>
        <v/>
      </c>
      <c r="H144" s="37" t="str">
        <f t="shared" si="21"/>
        <v/>
      </c>
      <c r="I144" s="37" t="str">
        <f t="shared" si="22"/>
        <v/>
      </c>
      <c r="J144" s="37" t="str">
        <f t="shared" si="23"/>
        <v/>
      </c>
      <c r="K144" s="37" t="str">
        <f t="shared" si="24"/>
        <v/>
      </c>
      <c r="L144" s="34"/>
      <c r="M144" s="34"/>
      <c r="N144" s="34"/>
    </row>
    <row r="145" spans="1:14" x14ac:dyDescent="0.25">
      <c r="A145" s="18">
        <v>139</v>
      </c>
      <c r="B145" s="18"/>
      <c r="C145" s="33"/>
      <c r="D145" s="33"/>
      <c r="E145" s="33"/>
      <c r="F145" s="33"/>
      <c r="G145" s="37" t="str">
        <f t="shared" si="20"/>
        <v/>
      </c>
      <c r="H145" s="37" t="str">
        <f t="shared" si="21"/>
        <v/>
      </c>
      <c r="I145" s="37" t="str">
        <f t="shared" si="22"/>
        <v/>
      </c>
      <c r="J145" s="37" t="str">
        <f t="shared" si="23"/>
        <v/>
      </c>
      <c r="K145" s="37" t="str">
        <f t="shared" si="24"/>
        <v/>
      </c>
      <c r="L145" s="34"/>
      <c r="M145" s="34"/>
      <c r="N145" s="34"/>
    </row>
    <row r="146" spans="1:14" x14ac:dyDescent="0.25">
      <c r="A146" s="18">
        <v>140</v>
      </c>
      <c r="B146" s="18"/>
      <c r="C146" s="33"/>
      <c r="D146" s="33"/>
      <c r="E146" s="33"/>
      <c r="F146" s="33"/>
      <c r="G146" s="37" t="str">
        <f t="shared" si="20"/>
        <v/>
      </c>
      <c r="H146" s="37" t="str">
        <f t="shared" si="21"/>
        <v/>
      </c>
      <c r="I146" s="37" t="str">
        <f t="shared" si="22"/>
        <v/>
      </c>
      <c r="J146" s="37" t="str">
        <f t="shared" si="23"/>
        <v/>
      </c>
      <c r="K146" s="37" t="str">
        <f t="shared" si="24"/>
        <v/>
      </c>
      <c r="L146" s="34"/>
      <c r="M146" s="34"/>
      <c r="N146" s="34"/>
    </row>
    <row r="147" spans="1:14" x14ac:dyDescent="0.25">
      <c r="A147" s="18">
        <v>141</v>
      </c>
      <c r="B147" s="18"/>
      <c r="C147" s="33"/>
      <c r="D147" s="33"/>
      <c r="E147" s="33"/>
      <c r="F147" s="33"/>
      <c r="G147" s="37" t="str">
        <f t="shared" si="20"/>
        <v/>
      </c>
      <c r="H147" s="37" t="str">
        <f t="shared" si="21"/>
        <v/>
      </c>
      <c r="I147" s="37" t="str">
        <f t="shared" si="22"/>
        <v/>
      </c>
      <c r="J147" s="37" t="str">
        <f t="shared" si="23"/>
        <v/>
      </c>
      <c r="K147" s="37" t="str">
        <f t="shared" si="24"/>
        <v/>
      </c>
      <c r="L147" s="34"/>
      <c r="M147" s="34"/>
      <c r="N147" s="34"/>
    </row>
    <row r="148" spans="1:14" x14ac:dyDescent="0.25">
      <c r="A148" s="18">
        <v>142</v>
      </c>
      <c r="B148" s="18"/>
      <c r="C148" s="33"/>
      <c r="D148" s="33"/>
      <c r="E148" s="33"/>
      <c r="F148" s="33"/>
      <c r="G148" s="37" t="str">
        <f t="shared" si="20"/>
        <v/>
      </c>
      <c r="H148" s="37" t="str">
        <f t="shared" si="21"/>
        <v/>
      </c>
      <c r="I148" s="37" t="str">
        <f t="shared" si="22"/>
        <v/>
      </c>
      <c r="J148" s="37" t="str">
        <f t="shared" si="23"/>
        <v/>
      </c>
      <c r="K148" s="37" t="str">
        <f t="shared" si="24"/>
        <v/>
      </c>
      <c r="L148" s="34"/>
      <c r="M148" s="34"/>
      <c r="N148" s="34"/>
    </row>
    <row r="149" spans="1:14" x14ac:dyDescent="0.25">
      <c r="A149" s="18">
        <v>143</v>
      </c>
      <c r="B149" s="18"/>
      <c r="C149" s="33"/>
      <c r="D149" s="33"/>
      <c r="E149" s="33"/>
      <c r="F149" s="33"/>
      <c r="G149" s="37" t="str">
        <f t="shared" si="20"/>
        <v/>
      </c>
      <c r="H149" s="37" t="str">
        <f t="shared" si="21"/>
        <v/>
      </c>
      <c r="I149" s="37" t="str">
        <f t="shared" si="22"/>
        <v/>
      </c>
      <c r="J149" s="37" t="str">
        <f t="shared" si="23"/>
        <v/>
      </c>
      <c r="K149" s="37" t="str">
        <f t="shared" si="24"/>
        <v/>
      </c>
      <c r="L149" s="34"/>
      <c r="M149" s="34"/>
      <c r="N149" s="34"/>
    </row>
    <row r="150" spans="1:14" x14ac:dyDescent="0.25">
      <c r="A150" s="18">
        <v>144</v>
      </c>
      <c r="B150" s="18"/>
      <c r="C150" s="33"/>
      <c r="D150" s="33"/>
      <c r="E150" s="33"/>
      <c r="F150" s="33"/>
      <c r="G150" s="37" t="str">
        <f t="shared" si="20"/>
        <v/>
      </c>
      <c r="H150" s="37" t="str">
        <f t="shared" si="21"/>
        <v/>
      </c>
      <c r="I150" s="37" t="str">
        <f t="shared" si="22"/>
        <v/>
      </c>
      <c r="J150" s="37" t="str">
        <f t="shared" si="23"/>
        <v/>
      </c>
      <c r="K150" s="37" t="str">
        <f t="shared" si="24"/>
        <v/>
      </c>
      <c r="L150" s="34"/>
      <c r="M150" s="34"/>
      <c r="N150" s="34"/>
    </row>
    <row r="151" spans="1:14" x14ac:dyDescent="0.25">
      <c r="A151" s="18">
        <v>145</v>
      </c>
      <c r="B151" s="18"/>
      <c r="C151" s="33"/>
      <c r="D151" s="33"/>
      <c r="E151" s="33"/>
      <c r="F151" s="33"/>
      <c r="G151" s="37" t="str">
        <f t="shared" si="20"/>
        <v/>
      </c>
      <c r="H151" s="37" t="str">
        <f t="shared" si="21"/>
        <v/>
      </c>
      <c r="I151" s="37" t="str">
        <f t="shared" si="22"/>
        <v/>
      </c>
      <c r="J151" s="37" t="str">
        <f t="shared" si="23"/>
        <v/>
      </c>
      <c r="K151" s="37" t="str">
        <f t="shared" si="24"/>
        <v/>
      </c>
      <c r="L151" s="34"/>
      <c r="M151" s="34"/>
      <c r="N151" s="34"/>
    </row>
    <row r="152" spans="1:14" x14ac:dyDescent="0.25">
      <c r="A152" s="18">
        <v>146</v>
      </c>
      <c r="B152" s="18"/>
      <c r="C152" s="33"/>
      <c r="D152" s="33"/>
      <c r="E152" s="33"/>
      <c r="F152" s="33"/>
      <c r="G152" s="37" t="str">
        <f t="shared" si="20"/>
        <v/>
      </c>
      <c r="H152" s="37" t="str">
        <f t="shared" si="21"/>
        <v/>
      </c>
      <c r="I152" s="37" t="str">
        <f t="shared" si="22"/>
        <v/>
      </c>
      <c r="J152" s="37" t="str">
        <f t="shared" si="23"/>
        <v/>
      </c>
      <c r="K152" s="37" t="str">
        <f t="shared" si="24"/>
        <v/>
      </c>
      <c r="L152" s="34"/>
      <c r="M152" s="34"/>
      <c r="N152" s="34"/>
    </row>
    <row r="153" spans="1:14" x14ac:dyDescent="0.25">
      <c r="A153" s="18">
        <v>147</v>
      </c>
      <c r="B153" s="18"/>
      <c r="C153" s="33"/>
      <c r="D153" s="33"/>
      <c r="E153" s="33"/>
      <c r="F153" s="33"/>
      <c r="G153" s="37" t="str">
        <f t="shared" si="20"/>
        <v/>
      </c>
      <c r="H153" s="37" t="str">
        <f t="shared" si="21"/>
        <v/>
      </c>
      <c r="I153" s="37" t="str">
        <f t="shared" si="22"/>
        <v/>
      </c>
      <c r="J153" s="37" t="str">
        <f t="shared" si="23"/>
        <v/>
      </c>
      <c r="K153" s="37" t="str">
        <f t="shared" si="24"/>
        <v/>
      </c>
      <c r="L153" s="34"/>
      <c r="M153" s="34"/>
      <c r="N153" s="34"/>
    </row>
    <row r="154" spans="1:14" x14ac:dyDescent="0.25">
      <c r="A154" s="18">
        <v>148</v>
      </c>
      <c r="B154" s="18"/>
      <c r="C154" s="33"/>
      <c r="D154" s="33"/>
      <c r="E154" s="33"/>
      <c r="F154" s="33"/>
      <c r="G154" s="37" t="str">
        <f t="shared" si="20"/>
        <v/>
      </c>
      <c r="H154" s="37" t="str">
        <f t="shared" si="21"/>
        <v/>
      </c>
      <c r="I154" s="37" t="str">
        <f t="shared" si="22"/>
        <v/>
      </c>
      <c r="J154" s="37" t="str">
        <f t="shared" si="23"/>
        <v/>
      </c>
      <c r="K154" s="37" t="str">
        <f t="shared" si="24"/>
        <v/>
      </c>
      <c r="L154" s="34"/>
      <c r="M154" s="34"/>
      <c r="N154" s="34"/>
    </row>
    <row r="155" spans="1:14" x14ac:dyDescent="0.25">
      <c r="A155" s="18">
        <v>149</v>
      </c>
      <c r="B155" s="18"/>
      <c r="C155" s="33"/>
      <c r="D155" s="33"/>
      <c r="E155" s="33"/>
      <c r="F155" s="33"/>
      <c r="G155" s="37" t="str">
        <f t="shared" si="20"/>
        <v/>
      </c>
      <c r="H155" s="37" t="str">
        <f t="shared" si="21"/>
        <v/>
      </c>
      <c r="I155" s="37" t="str">
        <f t="shared" si="22"/>
        <v/>
      </c>
      <c r="J155" s="37" t="str">
        <f t="shared" si="23"/>
        <v/>
      </c>
      <c r="K155" s="37" t="str">
        <f t="shared" si="24"/>
        <v/>
      </c>
      <c r="L155" s="34"/>
      <c r="M155" s="34"/>
      <c r="N155" s="34"/>
    </row>
    <row r="156" spans="1:14" x14ac:dyDescent="0.25">
      <c r="A156" s="18">
        <v>150</v>
      </c>
      <c r="B156" s="18"/>
      <c r="C156" s="33"/>
      <c r="D156" s="33"/>
      <c r="E156" s="33"/>
      <c r="F156" s="33"/>
      <c r="G156" s="37" t="str">
        <f t="shared" si="20"/>
        <v/>
      </c>
      <c r="H156" s="37" t="str">
        <f t="shared" si="21"/>
        <v/>
      </c>
      <c r="I156" s="37" t="str">
        <f t="shared" si="22"/>
        <v/>
      </c>
      <c r="J156" s="37" t="str">
        <f t="shared" si="23"/>
        <v/>
      </c>
      <c r="K156" s="37" t="str">
        <f t="shared" si="24"/>
        <v/>
      </c>
      <c r="L156" s="34"/>
      <c r="M156" s="34"/>
      <c r="N156" s="34"/>
    </row>
    <row r="157" spans="1:14" x14ac:dyDescent="0.25">
      <c r="A157" s="18">
        <v>151</v>
      </c>
      <c r="B157" s="18"/>
      <c r="C157" s="33"/>
      <c r="D157" s="33"/>
      <c r="E157" s="33"/>
      <c r="F157" s="33"/>
      <c r="G157" s="37" t="str">
        <f t="shared" si="20"/>
        <v/>
      </c>
      <c r="H157" s="37" t="str">
        <f t="shared" si="21"/>
        <v/>
      </c>
      <c r="I157" s="37" t="str">
        <f t="shared" si="22"/>
        <v/>
      </c>
      <c r="J157" s="37" t="str">
        <f t="shared" si="23"/>
        <v/>
      </c>
      <c r="K157" s="37" t="str">
        <f t="shared" si="24"/>
        <v/>
      </c>
      <c r="L157" s="34"/>
      <c r="M157" s="34"/>
      <c r="N157" s="34"/>
    </row>
    <row r="158" spans="1:14" x14ac:dyDescent="0.25">
      <c r="A158" s="18">
        <v>152</v>
      </c>
      <c r="B158" s="18"/>
      <c r="C158" s="33"/>
      <c r="D158" s="33"/>
      <c r="E158" s="33"/>
      <c r="F158" s="33"/>
      <c r="G158" s="37" t="str">
        <f t="shared" si="20"/>
        <v/>
      </c>
      <c r="H158" s="37" t="str">
        <f t="shared" si="21"/>
        <v/>
      </c>
      <c r="I158" s="37" t="str">
        <f t="shared" si="22"/>
        <v/>
      </c>
      <c r="J158" s="37" t="str">
        <f t="shared" si="23"/>
        <v/>
      </c>
      <c r="K158" s="37" t="str">
        <f t="shared" si="24"/>
        <v/>
      </c>
      <c r="L158" s="34"/>
      <c r="M158" s="34"/>
      <c r="N158" s="34"/>
    </row>
    <row r="159" spans="1:14" x14ac:dyDescent="0.25">
      <c r="A159" s="18">
        <v>153</v>
      </c>
      <c r="B159" s="18"/>
      <c r="C159" s="33"/>
      <c r="D159" s="33"/>
      <c r="E159" s="33"/>
      <c r="F159" s="33"/>
      <c r="G159" s="37" t="str">
        <f t="shared" si="20"/>
        <v/>
      </c>
      <c r="H159" s="37" t="str">
        <f t="shared" si="21"/>
        <v/>
      </c>
      <c r="I159" s="37" t="str">
        <f t="shared" si="22"/>
        <v/>
      </c>
      <c r="J159" s="37" t="str">
        <f t="shared" si="23"/>
        <v/>
      </c>
      <c r="K159" s="37" t="str">
        <f t="shared" si="24"/>
        <v/>
      </c>
      <c r="L159" s="34"/>
      <c r="M159" s="34"/>
      <c r="N159" s="34"/>
    </row>
    <row r="160" spans="1:14" x14ac:dyDescent="0.25">
      <c r="A160" s="18">
        <v>154</v>
      </c>
      <c r="B160" s="18"/>
      <c r="C160" s="33"/>
      <c r="D160" s="33"/>
      <c r="E160" s="33"/>
      <c r="F160" s="33"/>
      <c r="G160" s="37" t="str">
        <f t="shared" si="20"/>
        <v/>
      </c>
      <c r="H160" s="37" t="str">
        <f t="shared" si="21"/>
        <v/>
      </c>
      <c r="I160" s="37" t="str">
        <f t="shared" si="22"/>
        <v/>
      </c>
      <c r="J160" s="37" t="str">
        <f t="shared" si="23"/>
        <v/>
      </c>
      <c r="K160" s="37" t="str">
        <f t="shared" si="24"/>
        <v/>
      </c>
      <c r="L160" s="34"/>
      <c r="M160" s="34"/>
      <c r="N160" s="34"/>
    </row>
    <row r="161" spans="1:14" x14ac:dyDescent="0.25">
      <c r="A161" s="18">
        <v>155</v>
      </c>
      <c r="B161" s="18"/>
      <c r="C161" s="33"/>
      <c r="D161" s="33"/>
      <c r="E161" s="33"/>
      <c r="F161" s="33"/>
      <c r="G161" s="37" t="str">
        <f t="shared" si="20"/>
        <v/>
      </c>
      <c r="H161" s="37" t="str">
        <f t="shared" si="21"/>
        <v/>
      </c>
      <c r="I161" s="37" t="str">
        <f t="shared" si="22"/>
        <v/>
      </c>
      <c r="J161" s="37" t="str">
        <f t="shared" si="23"/>
        <v/>
      </c>
      <c r="K161" s="37" t="str">
        <f t="shared" si="24"/>
        <v/>
      </c>
      <c r="L161" s="34"/>
      <c r="M161" s="34"/>
      <c r="N161" s="34"/>
    </row>
    <row r="162" spans="1:14" x14ac:dyDescent="0.25">
      <c r="A162" s="18">
        <v>156</v>
      </c>
      <c r="B162" s="18"/>
      <c r="C162" s="33"/>
      <c r="D162" s="33"/>
      <c r="E162" s="33"/>
      <c r="F162" s="33"/>
      <c r="G162" s="37" t="str">
        <f t="shared" si="20"/>
        <v/>
      </c>
      <c r="H162" s="37" t="str">
        <f t="shared" si="21"/>
        <v/>
      </c>
      <c r="I162" s="37" t="str">
        <f t="shared" si="22"/>
        <v/>
      </c>
      <c r="J162" s="37" t="str">
        <f t="shared" si="23"/>
        <v/>
      </c>
      <c r="K162" s="37" t="str">
        <f t="shared" si="24"/>
        <v/>
      </c>
      <c r="L162" s="34"/>
      <c r="M162" s="34"/>
      <c r="N162" s="34"/>
    </row>
    <row r="163" spans="1:14" x14ac:dyDescent="0.25">
      <c r="A163" s="18">
        <v>157</v>
      </c>
      <c r="B163" s="18"/>
      <c r="C163" s="33"/>
      <c r="D163" s="33"/>
      <c r="E163" s="33"/>
      <c r="F163" s="33"/>
      <c r="G163" s="37" t="str">
        <f t="shared" si="20"/>
        <v/>
      </c>
      <c r="H163" s="37" t="str">
        <f t="shared" si="21"/>
        <v/>
      </c>
      <c r="I163" s="37" t="str">
        <f t="shared" si="22"/>
        <v/>
      </c>
      <c r="J163" s="37" t="str">
        <f t="shared" si="23"/>
        <v/>
      </c>
      <c r="K163" s="37" t="str">
        <f t="shared" si="24"/>
        <v/>
      </c>
      <c r="L163" s="34"/>
      <c r="M163" s="34"/>
      <c r="N163" s="34"/>
    </row>
    <row r="164" spans="1:14" x14ac:dyDescent="0.25">
      <c r="A164" s="18">
        <v>158</v>
      </c>
      <c r="B164" s="18"/>
      <c r="C164" s="33"/>
      <c r="D164" s="33"/>
      <c r="E164" s="33"/>
      <c r="F164" s="33"/>
      <c r="G164" s="37" t="str">
        <f t="shared" si="20"/>
        <v/>
      </c>
      <c r="H164" s="37" t="str">
        <f t="shared" si="21"/>
        <v/>
      </c>
      <c r="I164" s="37" t="str">
        <f t="shared" si="22"/>
        <v/>
      </c>
      <c r="J164" s="37" t="str">
        <f t="shared" si="23"/>
        <v/>
      </c>
      <c r="K164" s="37" t="str">
        <f t="shared" si="24"/>
        <v/>
      </c>
      <c r="L164" s="34"/>
      <c r="M164" s="34"/>
      <c r="N164" s="34"/>
    </row>
    <row r="165" spans="1:14" x14ac:dyDescent="0.25">
      <c r="A165" s="18">
        <v>159</v>
      </c>
      <c r="B165" s="18"/>
      <c r="C165" s="33"/>
      <c r="D165" s="33"/>
      <c r="E165" s="33"/>
      <c r="F165" s="33"/>
      <c r="G165" s="37" t="str">
        <f t="shared" si="20"/>
        <v/>
      </c>
      <c r="H165" s="37" t="str">
        <f t="shared" si="21"/>
        <v/>
      </c>
      <c r="I165" s="37" t="str">
        <f t="shared" si="22"/>
        <v/>
      </c>
      <c r="J165" s="37" t="str">
        <f t="shared" si="23"/>
        <v/>
      </c>
      <c r="K165" s="37" t="str">
        <f t="shared" si="24"/>
        <v/>
      </c>
      <c r="L165" s="34"/>
      <c r="M165" s="34"/>
      <c r="N165" s="34"/>
    </row>
    <row r="166" spans="1:14" x14ac:dyDescent="0.25">
      <c r="A166" s="18">
        <v>160</v>
      </c>
      <c r="B166" s="18"/>
      <c r="C166" s="33"/>
      <c r="D166" s="33"/>
      <c r="E166" s="33"/>
      <c r="F166" s="33"/>
      <c r="G166" s="37" t="str">
        <f t="shared" si="20"/>
        <v/>
      </c>
      <c r="H166" s="37" t="str">
        <f t="shared" si="21"/>
        <v/>
      </c>
      <c r="I166" s="37" t="str">
        <f t="shared" si="22"/>
        <v/>
      </c>
      <c r="J166" s="37" t="str">
        <f t="shared" si="23"/>
        <v/>
      </c>
      <c r="K166" s="37" t="str">
        <f t="shared" si="24"/>
        <v/>
      </c>
      <c r="L166" s="34"/>
      <c r="M166" s="34"/>
      <c r="N166" s="34"/>
    </row>
    <row r="167" spans="1:14" x14ac:dyDescent="0.25">
      <c r="A167" s="18">
        <v>161</v>
      </c>
      <c r="B167" s="18"/>
      <c r="C167" s="33"/>
      <c r="D167" s="33"/>
      <c r="E167" s="33"/>
      <c r="F167" s="33"/>
      <c r="G167" s="37" t="str">
        <f t="shared" ref="G167:G198" si="25">IF(E167="","",E167*SIN(RADIANS(D167)))</f>
        <v/>
      </c>
      <c r="H167" s="37" t="str">
        <f t="shared" ref="H167:H198" si="26">IF(E167="","",E167*COS(RADIANS(D167)))</f>
        <v/>
      </c>
      <c r="I167" s="37" t="str">
        <f t="shared" ref="I167:I198" si="27">IF(E167="","",N_base+G167*COS(RADIANS(C167)))</f>
        <v/>
      </c>
      <c r="J167" s="37" t="str">
        <f t="shared" ref="J167:J198" si="28">IF(E167="","",E_base+G167*SIN(RADIANS(C167)))</f>
        <v/>
      </c>
      <c r="K167" s="37" t="str">
        <f t="shared" ref="K167:K198" si="29">IF(E167="","",Z_base+hi_ET+H167-F167)</f>
        <v/>
      </c>
      <c r="L167" s="34"/>
      <c r="M167" s="34"/>
      <c r="N167" s="34"/>
    </row>
    <row r="168" spans="1:14" x14ac:dyDescent="0.25">
      <c r="A168" s="18">
        <v>162</v>
      </c>
      <c r="B168" s="18"/>
      <c r="C168" s="33"/>
      <c r="D168" s="33"/>
      <c r="E168" s="33"/>
      <c r="F168" s="33"/>
      <c r="G168" s="37" t="str">
        <f t="shared" si="25"/>
        <v/>
      </c>
      <c r="H168" s="37" t="str">
        <f t="shared" si="26"/>
        <v/>
      </c>
      <c r="I168" s="37" t="str">
        <f t="shared" si="27"/>
        <v/>
      </c>
      <c r="J168" s="37" t="str">
        <f t="shared" si="28"/>
        <v/>
      </c>
      <c r="K168" s="37" t="str">
        <f t="shared" si="29"/>
        <v/>
      </c>
      <c r="L168" s="34"/>
      <c r="M168" s="34"/>
      <c r="N168" s="34"/>
    </row>
    <row r="169" spans="1:14" x14ac:dyDescent="0.25">
      <c r="A169" s="18">
        <v>163</v>
      </c>
      <c r="B169" s="18"/>
      <c r="C169" s="33"/>
      <c r="D169" s="33"/>
      <c r="E169" s="33"/>
      <c r="F169" s="33"/>
      <c r="G169" s="37" t="str">
        <f t="shared" si="25"/>
        <v/>
      </c>
      <c r="H169" s="37" t="str">
        <f t="shared" si="26"/>
        <v/>
      </c>
      <c r="I169" s="37" t="str">
        <f t="shared" si="27"/>
        <v/>
      </c>
      <c r="J169" s="37" t="str">
        <f t="shared" si="28"/>
        <v/>
      </c>
      <c r="K169" s="37" t="str">
        <f t="shared" si="29"/>
        <v/>
      </c>
      <c r="L169" s="34"/>
      <c r="M169" s="34"/>
      <c r="N169" s="34"/>
    </row>
    <row r="170" spans="1:14" x14ac:dyDescent="0.25">
      <c r="A170" s="18">
        <v>164</v>
      </c>
      <c r="B170" s="18"/>
      <c r="C170" s="33"/>
      <c r="D170" s="33"/>
      <c r="E170" s="33"/>
      <c r="F170" s="33"/>
      <c r="G170" s="37" t="str">
        <f t="shared" si="25"/>
        <v/>
      </c>
      <c r="H170" s="37" t="str">
        <f t="shared" si="26"/>
        <v/>
      </c>
      <c r="I170" s="37" t="str">
        <f t="shared" si="27"/>
        <v/>
      </c>
      <c r="J170" s="37" t="str">
        <f t="shared" si="28"/>
        <v/>
      </c>
      <c r="K170" s="37" t="str">
        <f t="shared" si="29"/>
        <v/>
      </c>
      <c r="L170" s="34"/>
      <c r="M170" s="34"/>
      <c r="N170" s="34"/>
    </row>
    <row r="171" spans="1:14" x14ac:dyDescent="0.25">
      <c r="A171" s="18">
        <v>165</v>
      </c>
      <c r="B171" s="18"/>
      <c r="C171" s="33"/>
      <c r="D171" s="33"/>
      <c r="E171" s="33"/>
      <c r="F171" s="33"/>
      <c r="G171" s="37" t="str">
        <f t="shared" si="25"/>
        <v/>
      </c>
      <c r="H171" s="37" t="str">
        <f t="shared" si="26"/>
        <v/>
      </c>
      <c r="I171" s="37" t="str">
        <f t="shared" si="27"/>
        <v/>
      </c>
      <c r="J171" s="37" t="str">
        <f t="shared" si="28"/>
        <v/>
      </c>
      <c r="K171" s="37" t="str">
        <f t="shared" si="29"/>
        <v/>
      </c>
      <c r="L171" s="34"/>
      <c r="M171" s="34"/>
      <c r="N171" s="34"/>
    </row>
    <row r="172" spans="1:14" x14ac:dyDescent="0.25">
      <c r="A172" s="18">
        <v>166</v>
      </c>
      <c r="B172" s="18"/>
      <c r="C172" s="33"/>
      <c r="D172" s="33"/>
      <c r="E172" s="33"/>
      <c r="F172" s="33"/>
      <c r="G172" s="37" t="str">
        <f t="shared" si="25"/>
        <v/>
      </c>
      <c r="H172" s="37" t="str">
        <f t="shared" si="26"/>
        <v/>
      </c>
      <c r="I172" s="37" t="str">
        <f t="shared" si="27"/>
        <v/>
      </c>
      <c r="J172" s="37" t="str">
        <f t="shared" si="28"/>
        <v/>
      </c>
      <c r="K172" s="37" t="str">
        <f t="shared" si="29"/>
        <v/>
      </c>
      <c r="L172" s="34"/>
      <c r="M172" s="34"/>
      <c r="N172" s="34"/>
    </row>
    <row r="173" spans="1:14" x14ac:dyDescent="0.25">
      <c r="A173" s="18">
        <v>167</v>
      </c>
      <c r="B173" s="18"/>
      <c r="C173" s="33"/>
      <c r="D173" s="33"/>
      <c r="E173" s="33"/>
      <c r="F173" s="33"/>
      <c r="G173" s="37" t="str">
        <f t="shared" si="25"/>
        <v/>
      </c>
      <c r="H173" s="37" t="str">
        <f t="shared" si="26"/>
        <v/>
      </c>
      <c r="I173" s="37" t="str">
        <f t="shared" si="27"/>
        <v/>
      </c>
      <c r="J173" s="37" t="str">
        <f t="shared" si="28"/>
        <v/>
      </c>
      <c r="K173" s="37" t="str">
        <f t="shared" si="29"/>
        <v/>
      </c>
      <c r="L173" s="34"/>
      <c r="M173" s="34"/>
      <c r="N173" s="34"/>
    </row>
    <row r="174" spans="1:14" x14ac:dyDescent="0.25">
      <c r="A174" s="18">
        <v>168</v>
      </c>
      <c r="B174" s="18"/>
      <c r="C174" s="33"/>
      <c r="D174" s="33"/>
      <c r="E174" s="33"/>
      <c r="F174" s="33"/>
      <c r="G174" s="37" t="str">
        <f t="shared" si="25"/>
        <v/>
      </c>
      <c r="H174" s="37" t="str">
        <f t="shared" si="26"/>
        <v/>
      </c>
      <c r="I174" s="37" t="str">
        <f t="shared" si="27"/>
        <v/>
      </c>
      <c r="J174" s="37" t="str">
        <f t="shared" si="28"/>
        <v/>
      </c>
      <c r="K174" s="37" t="str">
        <f t="shared" si="29"/>
        <v/>
      </c>
      <c r="L174" s="34"/>
      <c r="M174" s="34"/>
      <c r="N174" s="34"/>
    </row>
    <row r="175" spans="1:14" x14ac:dyDescent="0.25">
      <c r="A175" s="18">
        <v>169</v>
      </c>
      <c r="B175" s="18"/>
      <c r="C175" s="33"/>
      <c r="D175" s="33"/>
      <c r="E175" s="33"/>
      <c r="F175" s="33"/>
      <c r="G175" s="37" t="str">
        <f t="shared" si="25"/>
        <v/>
      </c>
      <c r="H175" s="37" t="str">
        <f t="shared" si="26"/>
        <v/>
      </c>
      <c r="I175" s="37" t="str">
        <f t="shared" si="27"/>
        <v/>
      </c>
      <c r="J175" s="37" t="str">
        <f t="shared" si="28"/>
        <v/>
      </c>
      <c r="K175" s="37" t="str">
        <f t="shared" si="29"/>
        <v/>
      </c>
      <c r="L175" s="34"/>
      <c r="M175" s="34"/>
      <c r="N175" s="34"/>
    </row>
    <row r="176" spans="1:14" x14ac:dyDescent="0.25">
      <c r="A176" s="18">
        <v>170</v>
      </c>
      <c r="B176" s="18"/>
      <c r="C176" s="33"/>
      <c r="D176" s="33"/>
      <c r="E176" s="33"/>
      <c r="F176" s="33"/>
      <c r="G176" s="37" t="str">
        <f t="shared" si="25"/>
        <v/>
      </c>
      <c r="H176" s="37" t="str">
        <f t="shared" si="26"/>
        <v/>
      </c>
      <c r="I176" s="37" t="str">
        <f t="shared" si="27"/>
        <v/>
      </c>
      <c r="J176" s="37" t="str">
        <f t="shared" si="28"/>
        <v/>
      </c>
      <c r="K176" s="37" t="str">
        <f t="shared" si="29"/>
        <v/>
      </c>
      <c r="L176" s="34"/>
      <c r="M176" s="34"/>
      <c r="N176" s="34"/>
    </row>
    <row r="177" spans="1:14" x14ac:dyDescent="0.25">
      <c r="A177" s="18">
        <v>171</v>
      </c>
      <c r="B177" s="18"/>
      <c r="C177" s="33"/>
      <c r="D177" s="33"/>
      <c r="E177" s="33"/>
      <c r="F177" s="33"/>
      <c r="G177" s="37" t="str">
        <f t="shared" si="25"/>
        <v/>
      </c>
      <c r="H177" s="37" t="str">
        <f t="shared" si="26"/>
        <v/>
      </c>
      <c r="I177" s="37" t="str">
        <f t="shared" si="27"/>
        <v/>
      </c>
      <c r="J177" s="37" t="str">
        <f t="shared" si="28"/>
        <v/>
      </c>
      <c r="K177" s="37" t="str">
        <f t="shared" si="29"/>
        <v/>
      </c>
      <c r="L177" s="34"/>
      <c r="M177" s="34"/>
      <c r="N177" s="34"/>
    </row>
    <row r="178" spans="1:14" x14ac:dyDescent="0.25">
      <c r="A178" s="18">
        <v>172</v>
      </c>
      <c r="B178" s="18"/>
      <c r="C178" s="33"/>
      <c r="D178" s="33"/>
      <c r="E178" s="33"/>
      <c r="F178" s="33"/>
      <c r="G178" s="37" t="str">
        <f t="shared" si="25"/>
        <v/>
      </c>
      <c r="H178" s="37" t="str">
        <f t="shared" si="26"/>
        <v/>
      </c>
      <c r="I178" s="37" t="str">
        <f t="shared" si="27"/>
        <v/>
      </c>
      <c r="J178" s="37" t="str">
        <f t="shared" si="28"/>
        <v/>
      </c>
      <c r="K178" s="37" t="str">
        <f t="shared" si="29"/>
        <v/>
      </c>
      <c r="L178" s="34"/>
      <c r="M178" s="34"/>
      <c r="N178" s="34"/>
    </row>
    <row r="179" spans="1:14" x14ac:dyDescent="0.25">
      <c r="A179" s="18">
        <v>173</v>
      </c>
      <c r="B179" s="18"/>
      <c r="C179" s="33"/>
      <c r="D179" s="33"/>
      <c r="E179" s="33"/>
      <c r="F179" s="33"/>
      <c r="G179" s="37" t="str">
        <f t="shared" si="25"/>
        <v/>
      </c>
      <c r="H179" s="37" t="str">
        <f t="shared" si="26"/>
        <v/>
      </c>
      <c r="I179" s="37" t="str">
        <f t="shared" si="27"/>
        <v/>
      </c>
      <c r="J179" s="37" t="str">
        <f t="shared" si="28"/>
        <v/>
      </c>
      <c r="K179" s="37" t="str">
        <f t="shared" si="29"/>
        <v/>
      </c>
      <c r="L179" s="34"/>
      <c r="M179" s="34"/>
      <c r="N179" s="34"/>
    </row>
    <row r="180" spans="1:14" x14ac:dyDescent="0.25">
      <c r="A180" s="18">
        <v>174</v>
      </c>
      <c r="B180" s="18"/>
      <c r="C180" s="33"/>
      <c r="D180" s="33"/>
      <c r="E180" s="33"/>
      <c r="F180" s="33"/>
      <c r="G180" s="37" t="str">
        <f t="shared" si="25"/>
        <v/>
      </c>
      <c r="H180" s="37" t="str">
        <f t="shared" si="26"/>
        <v/>
      </c>
      <c r="I180" s="37" t="str">
        <f t="shared" si="27"/>
        <v/>
      </c>
      <c r="J180" s="37" t="str">
        <f t="shared" si="28"/>
        <v/>
      </c>
      <c r="K180" s="37" t="str">
        <f t="shared" si="29"/>
        <v/>
      </c>
      <c r="L180" s="34"/>
      <c r="M180" s="34"/>
      <c r="N180" s="34"/>
    </row>
    <row r="181" spans="1:14" x14ac:dyDescent="0.25">
      <c r="A181" s="18">
        <v>175</v>
      </c>
      <c r="B181" s="18"/>
      <c r="C181" s="33"/>
      <c r="D181" s="33"/>
      <c r="E181" s="33"/>
      <c r="F181" s="33"/>
      <c r="G181" s="37" t="str">
        <f t="shared" si="25"/>
        <v/>
      </c>
      <c r="H181" s="37" t="str">
        <f t="shared" si="26"/>
        <v/>
      </c>
      <c r="I181" s="37" t="str">
        <f t="shared" si="27"/>
        <v/>
      </c>
      <c r="J181" s="37" t="str">
        <f t="shared" si="28"/>
        <v/>
      </c>
      <c r="K181" s="37" t="str">
        <f t="shared" si="29"/>
        <v/>
      </c>
      <c r="L181" s="34"/>
      <c r="M181" s="34"/>
      <c r="N181" s="34"/>
    </row>
    <row r="182" spans="1:14" x14ac:dyDescent="0.25">
      <c r="A182" s="18">
        <v>176</v>
      </c>
      <c r="B182" s="18"/>
      <c r="C182" s="33"/>
      <c r="D182" s="33"/>
      <c r="E182" s="33"/>
      <c r="F182" s="33"/>
      <c r="G182" s="37" t="str">
        <f t="shared" si="25"/>
        <v/>
      </c>
      <c r="H182" s="37" t="str">
        <f t="shared" si="26"/>
        <v/>
      </c>
      <c r="I182" s="37" t="str">
        <f t="shared" si="27"/>
        <v/>
      </c>
      <c r="J182" s="37" t="str">
        <f t="shared" si="28"/>
        <v/>
      </c>
      <c r="K182" s="37" t="str">
        <f t="shared" si="29"/>
        <v/>
      </c>
      <c r="L182" s="34"/>
      <c r="M182" s="34"/>
      <c r="N182" s="34"/>
    </row>
    <row r="183" spans="1:14" x14ac:dyDescent="0.25">
      <c r="A183" s="18">
        <v>177</v>
      </c>
      <c r="B183" s="18"/>
      <c r="C183" s="33"/>
      <c r="D183" s="33"/>
      <c r="E183" s="33"/>
      <c r="F183" s="33"/>
      <c r="G183" s="37" t="str">
        <f t="shared" si="25"/>
        <v/>
      </c>
      <c r="H183" s="37" t="str">
        <f t="shared" si="26"/>
        <v/>
      </c>
      <c r="I183" s="37" t="str">
        <f t="shared" si="27"/>
        <v/>
      </c>
      <c r="J183" s="37" t="str">
        <f t="shared" si="28"/>
        <v/>
      </c>
      <c r="K183" s="37" t="str">
        <f t="shared" si="29"/>
        <v/>
      </c>
      <c r="L183" s="34"/>
      <c r="M183" s="34"/>
      <c r="N183" s="34"/>
    </row>
    <row r="184" spans="1:14" x14ac:dyDescent="0.25">
      <c r="A184" s="18">
        <v>178</v>
      </c>
      <c r="B184" s="18"/>
      <c r="C184" s="33"/>
      <c r="D184" s="33"/>
      <c r="E184" s="33"/>
      <c r="F184" s="33"/>
      <c r="G184" s="37" t="str">
        <f t="shared" si="25"/>
        <v/>
      </c>
      <c r="H184" s="37" t="str">
        <f t="shared" si="26"/>
        <v/>
      </c>
      <c r="I184" s="37" t="str">
        <f t="shared" si="27"/>
        <v/>
      </c>
      <c r="J184" s="37" t="str">
        <f t="shared" si="28"/>
        <v/>
      </c>
      <c r="K184" s="37" t="str">
        <f t="shared" si="29"/>
        <v/>
      </c>
      <c r="L184" s="34"/>
      <c r="M184" s="34"/>
      <c r="N184" s="34"/>
    </row>
    <row r="185" spans="1:14" x14ac:dyDescent="0.25">
      <c r="A185" s="18">
        <v>179</v>
      </c>
      <c r="B185" s="18"/>
      <c r="C185" s="33"/>
      <c r="D185" s="33"/>
      <c r="E185" s="33"/>
      <c r="F185" s="33"/>
      <c r="G185" s="37" t="str">
        <f t="shared" si="25"/>
        <v/>
      </c>
      <c r="H185" s="37" t="str">
        <f t="shared" si="26"/>
        <v/>
      </c>
      <c r="I185" s="37" t="str">
        <f t="shared" si="27"/>
        <v/>
      </c>
      <c r="J185" s="37" t="str">
        <f t="shared" si="28"/>
        <v/>
      </c>
      <c r="K185" s="37" t="str">
        <f t="shared" si="29"/>
        <v/>
      </c>
      <c r="L185" s="34"/>
      <c r="M185" s="34"/>
      <c r="N185" s="34"/>
    </row>
    <row r="186" spans="1:14" x14ac:dyDescent="0.25">
      <c r="A186" s="18">
        <v>180</v>
      </c>
      <c r="B186" s="18"/>
      <c r="C186" s="33"/>
      <c r="D186" s="33"/>
      <c r="E186" s="33"/>
      <c r="F186" s="33"/>
      <c r="G186" s="37" t="str">
        <f t="shared" si="25"/>
        <v/>
      </c>
      <c r="H186" s="37" t="str">
        <f t="shared" si="26"/>
        <v/>
      </c>
      <c r="I186" s="37" t="str">
        <f t="shared" si="27"/>
        <v/>
      </c>
      <c r="J186" s="37" t="str">
        <f t="shared" si="28"/>
        <v/>
      </c>
      <c r="K186" s="37" t="str">
        <f t="shared" si="29"/>
        <v/>
      </c>
      <c r="L186" s="34"/>
      <c r="M186" s="34"/>
      <c r="N186" s="34"/>
    </row>
    <row r="187" spans="1:14" x14ac:dyDescent="0.25">
      <c r="A187" s="18">
        <v>181</v>
      </c>
      <c r="B187" s="18"/>
      <c r="C187" s="33"/>
      <c r="D187" s="33"/>
      <c r="E187" s="33"/>
      <c r="F187" s="33"/>
      <c r="G187" s="37" t="str">
        <f t="shared" si="25"/>
        <v/>
      </c>
      <c r="H187" s="37" t="str">
        <f t="shared" si="26"/>
        <v/>
      </c>
      <c r="I187" s="37" t="str">
        <f t="shared" si="27"/>
        <v/>
      </c>
      <c r="J187" s="37" t="str">
        <f t="shared" si="28"/>
        <v/>
      </c>
      <c r="K187" s="37" t="str">
        <f t="shared" si="29"/>
        <v/>
      </c>
      <c r="L187" s="34"/>
      <c r="M187" s="34"/>
      <c r="N187" s="34"/>
    </row>
    <row r="188" spans="1:14" x14ac:dyDescent="0.25">
      <c r="A188" s="18">
        <v>182</v>
      </c>
      <c r="B188" s="18"/>
      <c r="C188" s="33"/>
      <c r="D188" s="33"/>
      <c r="E188" s="33"/>
      <c r="F188" s="33"/>
      <c r="G188" s="37" t="str">
        <f t="shared" si="25"/>
        <v/>
      </c>
      <c r="H188" s="37" t="str">
        <f t="shared" si="26"/>
        <v/>
      </c>
      <c r="I188" s="37" t="str">
        <f t="shared" si="27"/>
        <v/>
      </c>
      <c r="J188" s="37" t="str">
        <f t="shared" si="28"/>
        <v/>
      </c>
      <c r="K188" s="37" t="str">
        <f t="shared" si="29"/>
        <v/>
      </c>
      <c r="L188" s="34"/>
      <c r="M188" s="34"/>
      <c r="N188" s="34"/>
    </row>
    <row r="189" spans="1:14" x14ac:dyDescent="0.25">
      <c r="A189" s="18">
        <v>183</v>
      </c>
      <c r="B189" s="18"/>
      <c r="C189" s="33"/>
      <c r="D189" s="33"/>
      <c r="E189" s="33"/>
      <c r="F189" s="33"/>
      <c r="G189" s="37" t="str">
        <f t="shared" si="25"/>
        <v/>
      </c>
      <c r="H189" s="37" t="str">
        <f t="shared" si="26"/>
        <v/>
      </c>
      <c r="I189" s="37" t="str">
        <f t="shared" si="27"/>
        <v/>
      </c>
      <c r="J189" s="37" t="str">
        <f t="shared" si="28"/>
        <v/>
      </c>
      <c r="K189" s="37" t="str">
        <f t="shared" si="29"/>
        <v/>
      </c>
      <c r="L189" s="34"/>
      <c r="M189" s="34"/>
      <c r="N189" s="34"/>
    </row>
    <row r="190" spans="1:14" x14ac:dyDescent="0.25">
      <c r="A190" s="18">
        <v>184</v>
      </c>
      <c r="B190" s="18"/>
      <c r="C190" s="33"/>
      <c r="D190" s="33"/>
      <c r="E190" s="33"/>
      <c r="F190" s="33"/>
      <c r="G190" s="37" t="str">
        <f t="shared" si="25"/>
        <v/>
      </c>
      <c r="H190" s="37" t="str">
        <f t="shared" si="26"/>
        <v/>
      </c>
      <c r="I190" s="37" t="str">
        <f t="shared" si="27"/>
        <v/>
      </c>
      <c r="J190" s="37" t="str">
        <f t="shared" si="28"/>
        <v/>
      </c>
      <c r="K190" s="37" t="str">
        <f t="shared" si="29"/>
        <v/>
      </c>
      <c r="L190" s="34"/>
      <c r="M190" s="34"/>
      <c r="N190" s="34"/>
    </row>
    <row r="191" spans="1:14" x14ac:dyDescent="0.25">
      <c r="A191" s="18">
        <v>185</v>
      </c>
      <c r="B191" s="18"/>
      <c r="C191" s="33"/>
      <c r="D191" s="33"/>
      <c r="E191" s="33"/>
      <c r="F191" s="33"/>
      <c r="G191" s="37" t="str">
        <f t="shared" si="25"/>
        <v/>
      </c>
      <c r="H191" s="37" t="str">
        <f t="shared" si="26"/>
        <v/>
      </c>
      <c r="I191" s="37" t="str">
        <f t="shared" si="27"/>
        <v/>
      </c>
      <c r="J191" s="37" t="str">
        <f t="shared" si="28"/>
        <v/>
      </c>
      <c r="K191" s="37" t="str">
        <f t="shared" si="29"/>
        <v/>
      </c>
      <c r="L191" s="34"/>
      <c r="M191" s="34"/>
      <c r="N191" s="34"/>
    </row>
    <row r="192" spans="1:14" x14ac:dyDescent="0.25">
      <c r="A192" s="18">
        <v>186</v>
      </c>
      <c r="B192" s="18"/>
      <c r="C192" s="33"/>
      <c r="D192" s="33"/>
      <c r="E192" s="33"/>
      <c r="F192" s="33"/>
      <c r="G192" s="37" t="str">
        <f t="shared" si="25"/>
        <v/>
      </c>
      <c r="H192" s="37" t="str">
        <f t="shared" si="26"/>
        <v/>
      </c>
      <c r="I192" s="37" t="str">
        <f t="shared" si="27"/>
        <v/>
      </c>
      <c r="J192" s="37" t="str">
        <f t="shared" si="28"/>
        <v/>
      </c>
      <c r="K192" s="37" t="str">
        <f t="shared" si="29"/>
        <v/>
      </c>
      <c r="L192" s="34"/>
      <c r="M192" s="34"/>
      <c r="N192" s="34"/>
    </row>
    <row r="193" spans="1:14" x14ac:dyDescent="0.25">
      <c r="A193" s="18">
        <v>187</v>
      </c>
      <c r="B193" s="18"/>
      <c r="C193" s="33"/>
      <c r="D193" s="33"/>
      <c r="E193" s="33"/>
      <c r="F193" s="33"/>
      <c r="G193" s="37" t="str">
        <f t="shared" si="25"/>
        <v/>
      </c>
      <c r="H193" s="37" t="str">
        <f t="shared" si="26"/>
        <v/>
      </c>
      <c r="I193" s="37" t="str">
        <f t="shared" si="27"/>
        <v/>
      </c>
      <c r="J193" s="37" t="str">
        <f t="shared" si="28"/>
        <v/>
      </c>
      <c r="K193" s="37" t="str">
        <f t="shared" si="29"/>
        <v/>
      </c>
      <c r="L193" s="34"/>
      <c r="M193" s="34"/>
      <c r="N193" s="34"/>
    </row>
    <row r="194" spans="1:14" x14ac:dyDescent="0.25">
      <c r="A194" s="18">
        <v>188</v>
      </c>
      <c r="B194" s="18"/>
      <c r="C194" s="33"/>
      <c r="D194" s="33"/>
      <c r="E194" s="33"/>
      <c r="F194" s="33"/>
      <c r="G194" s="37" t="str">
        <f t="shared" si="25"/>
        <v/>
      </c>
      <c r="H194" s="37" t="str">
        <f t="shared" si="26"/>
        <v/>
      </c>
      <c r="I194" s="37" t="str">
        <f t="shared" si="27"/>
        <v/>
      </c>
      <c r="J194" s="37" t="str">
        <f t="shared" si="28"/>
        <v/>
      </c>
      <c r="K194" s="37" t="str">
        <f t="shared" si="29"/>
        <v/>
      </c>
      <c r="L194" s="34"/>
      <c r="M194" s="34"/>
      <c r="N194" s="34"/>
    </row>
    <row r="195" spans="1:14" x14ac:dyDescent="0.25">
      <c r="A195" s="18">
        <v>189</v>
      </c>
      <c r="B195" s="18"/>
      <c r="C195" s="33"/>
      <c r="D195" s="33"/>
      <c r="E195" s="33"/>
      <c r="F195" s="33"/>
      <c r="G195" s="37" t="str">
        <f t="shared" si="25"/>
        <v/>
      </c>
      <c r="H195" s="37" t="str">
        <f t="shared" si="26"/>
        <v/>
      </c>
      <c r="I195" s="37" t="str">
        <f t="shared" si="27"/>
        <v/>
      </c>
      <c r="J195" s="37" t="str">
        <f t="shared" si="28"/>
        <v/>
      </c>
      <c r="K195" s="37" t="str">
        <f t="shared" si="29"/>
        <v/>
      </c>
      <c r="L195" s="34"/>
      <c r="M195" s="34"/>
      <c r="N195" s="34"/>
    </row>
    <row r="196" spans="1:14" x14ac:dyDescent="0.25">
      <c r="A196" s="18">
        <v>190</v>
      </c>
      <c r="B196" s="18"/>
      <c r="C196" s="33"/>
      <c r="D196" s="33"/>
      <c r="E196" s="33"/>
      <c r="F196" s="33"/>
      <c r="G196" s="37" t="str">
        <f t="shared" si="25"/>
        <v/>
      </c>
      <c r="H196" s="37" t="str">
        <f t="shared" si="26"/>
        <v/>
      </c>
      <c r="I196" s="37" t="str">
        <f t="shared" si="27"/>
        <v/>
      </c>
      <c r="J196" s="37" t="str">
        <f t="shared" si="28"/>
        <v/>
      </c>
      <c r="K196" s="37" t="str">
        <f t="shared" si="29"/>
        <v/>
      </c>
      <c r="L196" s="34"/>
      <c r="M196" s="34"/>
      <c r="N196" s="34"/>
    </row>
    <row r="197" spans="1:14" x14ac:dyDescent="0.25">
      <c r="A197" s="18">
        <v>191</v>
      </c>
      <c r="B197" s="18"/>
      <c r="C197" s="33"/>
      <c r="D197" s="33"/>
      <c r="E197" s="33"/>
      <c r="F197" s="33"/>
      <c r="G197" s="37" t="str">
        <f t="shared" si="25"/>
        <v/>
      </c>
      <c r="H197" s="37" t="str">
        <f t="shared" si="26"/>
        <v/>
      </c>
      <c r="I197" s="37" t="str">
        <f t="shared" si="27"/>
        <v/>
      </c>
      <c r="J197" s="37" t="str">
        <f t="shared" si="28"/>
        <v/>
      </c>
      <c r="K197" s="37" t="str">
        <f t="shared" si="29"/>
        <v/>
      </c>
      <c r="L197" s="34"/>
      <c r="M197" s="34"/>
      <c r="N197" s="34"/>
    </row>
    <row r="198" spans="1:14" x14ac:dyDescent="0.25">
      <c r="A198" s="18">
        <v>192</v>
      </c>
      <c r="B198" s="18"/>
      <c r="C198" s="33"/>
      <c r="D198" s="33"/>
      <c r="E198" s="33"/>
      <c r="F198" s="33"/>
      <c r="G198" s="37" t="str">
        <f t="shared" si="25"/>
        <v/>
      </c>
      <c r="H198" s="37" t="str">
        <f t="shared" si="26"/>
        <v/>
      </c>
      <c r="I198" s="37" t="str">
        <f t="shared" si="27"/>
        <v/>
      </c>
      <c r="J198" s="37" t="str">
        <f t="shared" si="28"/>
        <v/>
      </c>
      <c r="K198" s="37" t="str">
        <f t="shared" si="29"/>
        <v/>
      </c>
      <c r="L198" s="34"/>
      <c r="M198" s="34"/>
      <c r="N198" s="34"/>
    </row>
    <row r="199" spans="1:14" x14ac:dyDescent="0.25">
      <c r="A199" s="18">
        <v>193</v>
      </c>
      <c r="B199" s="18"/>
      <c r="C199" s="33"/>
      <c r="D199" s="33"/>
      <c r="E199" s="33"/>
      <c r="F199" s="33"/>
      <c r="G199" s="37" t="str">
        <f t="shared" ref="G199:G206" si="30">IF(E199="","",E199*SIN(RADIANS(D199)))</f>
        <v/>
      </c>
      <c r="H199" s="37" t="str">
        <f t="shared" ref="H199:H206" si="31">IF(E199="","",E199*COS(RADIANS(D199)))</f>
        <v/>
      </c>
      <c r="I199" s="37" t="str">
        <f t="shared" ref="I199:I206" si="32">IF(E199="","",N_base+G199*COS(RADIANS(C199)))</f>
        <v/>
      </c>
      <c r="J199" s="37" t="str">
        <f t="shared" ref="J199:J206" si="33">IF(E199="","",E_base+G199*SIN(RADIANS(C199)))</f>
        <v/>
      </c>
      <c r="K199" s="37" t="str">
        <f t="shared" ref="K199:K206" si="34">IF(E199="","",Z_base+hi_ET+H199-F199)</f>
        <v/>
      </c>
      <c r="L199" s="34"/>
      <c r="M199" s="34"/>
      <c r="N199" s="34"/>
    </row>
    <row r="200" spans="1:14" x14ac:dyDescent="0.25">
      <c r="A200" s="18">
        <v>194</v>
      </c>
      <c r="B200" s="18"/>
      <c r="C200" s="33"/>
      <c r="D200" s="33"/>
      <c r="E200" s="33"/>
      <c r="F200" s="33"/>
      <c r="G200" s="37" t="str">
        <f t="shared" si="30"/>
        <v/>
      </c>
      <c r="H200" s="37" t="str">
        <f t="shared" si="31"/>
        <v/>
      </c>
      <c r="I200" s="37" t="str">
        <f t="shared" si="32"/>
        <v/>
      </c>
      <c r="J200" s="37" t="str">
        <f t="shared" si="33"/>
        <v/>
      </c>
      <c r="K200" s="37" t="str">
        <f t="shared" si="34"/>
        <v/>
      </c>
      <c r="L200" s="34"/>
      <c r="M200" s="34"/>
      <c r="N200" s="34"/>
    </row>
    <row r="201" spans="1:14" x14ac:dyDescent="0.25">
      <c r="A201" s="18">
        <v>195</v>
      </c>
      <c r="B201" s="18"/>
      <c r="C201" s="33"/>
      <c r="D201" s="33"/>
      <c r="E201" s="33"/>
      <c r="F201" s="33"/>
      <c r="G201" s="37" t="str">
        <f t="shared" si="30"/>
        <v/>
      </c>
      <c r="H201" s="37" t="str">
        <f t="shared" si="31"/>
        <v/>
      </c>
      <c r="I201" s="37" t="str">
        <f t="shared" si="32"/>
        <v/>
      </c>
      <c r="J201" s="37" t="str">
        <f t="shared" si="33"/>
        <v/>
      </c>
      <c r="K201" s="37" t="str">
        <f t="shared" si="34"/>
        <v/>
      </c>
      <c r="L201" s="34"/>
      <c r="M201" s="34"/>
      <c r="N201" s="34"/>
    </row>
    <row r="202" spans="1:14" x14ac:dyDescent="0.25">
      <c r="A202" s="18">
        <v>196</v>
      </c>
      <c r="B202" s="18"/>
      <c r="C202" s="33"/>
      <c r="D202" s="33"/>
      <c r="E202" s="33"/>
      <c r="F202" s="33"/>
      <c r="G202" s="37" t="str">
        <f t="shared" si="30"/>
        <v/>
      </c>
      <c r="H202" s="37" t="str">
        <f t="shared" si="31"/>
        <v/>
      </c>
      <c r="I202" s="37" t="str">
        <f t="shared" si="32"/>
        <v/>
      </c>
      <c r="J202" s="37" t="str">
        <f t="shared" si="33"/>
        <v/>
      </c>
      <c r="K202" s="37" t="str">
        <f t="shared" si="34"/>
        <v/>
      </c>
      <c r="L202" s="34"/>
      <c r="M202" s="34"/>
      <c r="N202" s="34"/>
    </row>
    <row r="203" spans="1:14" x14ac:dyDescent="0.25">
      <c r="A203" s="18">
        <v>197</v>
      </c>
      <c r="B203" s="18"/>
      <c r="C203" s="33"/>
      <c r="D203" s="33"/>
      <c r="E203" s="33"/>
      <c r="F203" s="33"/>
      <c r="G203" s="37" t="str">
        <f t="shared" si="30"/>
        <v/>
      </c>
      <c r="H203" s="37" t="str">
        <f t="shared" si="31"/>
        <v/>
      </c>
      <c r="I203" s="37" t="str">
        <f t="shared" si="32"/>
        <v/>
      </c>
      <c r="J203" s="37" t="str">
        <f t="shared" si="33"/>
        <v/>
      </c>
      <c r="K203" s="37" t="str">
        <f t="shared" si="34"/>
        <v/>
      </c>
      <c r="L203" s="34"/>
      <c r="M203" s="34"/>
      <c r="N203" s="34"/>
    </row>
    <row r="204" spans="1:14" x14ac:dyDescent="0.25">
      <c r="A204" s="18">
        <v>198</v>
      </c>
      <c r="B204" s="18"/>
      <c r="C204" s="33"/>
      <c r="D204" s="33"/>
      <c r="E204" s="33"/>
      <c r="F204" s="33"/>
      <c r="G204" s="37" t="str">
        <f t="shared" si="30"/>
        <v/>
      </c>
      <c r="H204" s="37" t="str">
        <f t="shared" si="31"/>
        <v/>
      </c>
      <c r="I204" s="37" t="str">
        <f t="shared" si="32"/>
        <v/>
      </c>
      <c r="J204" s="37" t="str">
        <f t="shared" si="33"/>
        <v/>
      </c>
      <c r="K204" s="37" t="str">
        <f t="shared" si="34"/>
        <v/>
      </c>
      <c r="L204" s="34"/>
      <c r="M204" s="34"/>
      <c r="N204" s="34"/>
    </row>
    <row r="205" spans="1:14" x14ac:dyDescent="0.25">
      <c r="A205" s="18">
        <v>199</v>
      </c>
      <c r="B205" s="18"/>
      <c r="C205" s="33"/>
      <c r="D205" s="33"/>
      <c r="E205" s="33"/>
      <c r="F205" s="33"/>
      <c r="G205" s="37" t="str">
        <f t="shared" si="30"/>
        <v/>
      </c>
      <c r="H205" s="37" t="str">
        <f t="shared" si="31"/>
        <v/>
      </c>
      <c r="I205" s="37" t="str">
        <f t="shared" si="32"/>
        <v/>
      </c>
      <c r="J205" s="37" t="str">
        <f t="shared" si="33"/>
        <v/>
      </c>
      <c r="K205" s="37" t="str">
        <f t="shared" si="34"/>
        <v/>
      </c>
      <c r="L205" s="34"/>
      <c r="M205" s="34"/>
      <c r="N205" s="34"/>
    </row>
    <row r="206" spans="1:14" x14ac:dyDescent="0.25">
      <c r="A206" s="18">
        <v>200</v>
      </c>
      <c r="B206" s="18"/>
      <c r="C206" s="33"/>
      <c r="D206" s="33"/>
      <c r="E206" s="33"/>
      <c r="F206" s="33"/>
      <c r="G206" s="37" t="str">
        <f t="shared" si="30"/>
        <v/>
      </c>
      <c r="H206" s="37" t="str">
        <f t="shared" si="31"/>
        <v/>
      </c>
      <c r="I206" s="37" t="str">
        <f t="shared" si="32"/>
        <v/>
      </c>
      <c r="J206" s="37" t="str">
        <f t="shared" si="33"/>
        <v/>
      </c>
      <c r="K206" s="37" t="str">
        <f t="shared" si="34"/>
        <v/>
      </c>
      <c r="L206" s="34"/>
      <c r="M206" s="34"/>
      <c r="N206" s="34"/>
    </row>
  </sheetData>
  <sheetProtection algorithmName="SHA-512" hashValue="6X1wf5nKRhqaAWtz/VqCXCyZEce4W8mqAELPYjfzBJw8T18MGhL6C/DsqLLteDI7/1BLNS6AJwnkUb2EIRiUqA==" saltValue="cOoVhJ3GO/uSkvsLcwpopA==" spinCount="100000" sheet="1" objects="1" scenarios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workbookViewId="0">
      <pane xSplit="2" ySplit="6" topLeftCell="C229" activePane="bottomRight" state="frozen"/>
      <selection pane="topRight"/>
      <selection pane="bottomLeft"/>
      <selection pane="bottomRight" activeCell="J230" sqref="J230"/>
    </sheetView>
  </sheetViews>
  <sheetFormatPr baseColWidth="10" defaultColWidth="9.140625" defaultRowHeight="15" x14ac:dyDescent="0.25"/>
  <cols>
    <col min="1" max="1" width="6" style="10" customWidth="1"/>
    <col min="2" max="2" width="14" style="10" customWidth="1"/>
    <col min="3" max="5" width="16" style="10" customWidth="1"/>
    <col min="6" max="7" width="14" style="10" customWidth="1"/>
    <col min="8" max="8" width="30" style="10" customWidth="1"/>
    <col min="9" max="16384" width="9.140625" style="10"/>
  </cols>
  <sheetData>
    <row r="1" spans="1:12" ht="15" customHeight="1" x14ac:dyDescent="0.25">
      <c r="E1" s="38" t="s">
        <v>55</v>
      </c>
    </row>
    <row r="2" spans="1:12" ht="15" customHeight="1" x14ac:dyDescent="0.25">
      <c r="E2" s="39" t="s">
        <v>56</v>
      </c>
      <c r="J2" s="68" t="s">
        <v>59</v>
      </c>
      <c r="K2" s="68"/>
      <c r="L2" s="68"/>
    </row>
    <row r="3" spans="1:12" x14ac:dyDescent="0.25">
      <c r="J3" s="64" t="s">
        <v>60</v>
      </c>
      <c r="K3" s="65"/>
      <c r="L3" s="66">
        <f>COUNTA(B7:B306)</f>
        <v>0</v>
      </c>
    </row>
    <row r="4" spans="1:12" x14ac:dyDescent="0.25">
      <c r="A4" s="48" t="s">
        <v>57</v>
      </c>
      <c r="B4" s="13"/>
      <c r="C4" s="13"/>
      <c r="D4" s="13"/>
      <c r="E4" s="13"/>
      <c r="F4" s="13"/>
      <c r="G4" s="13"/>
      <c r="H4" s="14"/>
      <c r="J4" s="64" t="s">
        <v>61</v>
      </c>
      <c r="K4" s="65"/>
      <c r="L4" s="37">
        <f>IFERROR(MIN(E7:E306),"")</f>
        <v>0</v>
      </c>
    </row>
    <row r="5" spans="1:12" x14ac:dyDescent="0.25">
      <c r="A5" s="67"/>
      <c r="B5" s="13"/>
      <c r="C5" s="13"/>
      <c r="D5" s="13"/>
      <c r="E5" s="13"/>
      <c r="F5" s="13"/>
      <c r="G5" s="13"/>
      <c r="H5" s="14"/>
      <c r="J5" s="64" t="s">
        <v>62</v>
      </c>
      <c r="K5" s="65"/>
      <c r="L5" s="37">
        <f>IFERROR(MAX(E7:E306),"")</f>
        <v>0</v>
      </c>
    </row>
    <row r="6" spans="1:12" ht="30" customHeight="1" x14ac:dyDescent="0.25">
      <c r="A6" s="31" t="s">
        <v>39</v>
      </c>
      <c r="B6" s="31" t="s">
        <v>20</v>
      </c>
      <c r="C6" s="31" t="s">
        <v>46</v>
      </c>
      <c r="D6" s="31" t="s">
        <v>47</v>
      </c>
      <c r="E6" s="31" t="s">
        <v>48</v>
      </c>
      <c r="F6" s="31" t="s">
        <v>49</v>
      </c>
      <c r="G6" s="31" t="s">
        <v>50</v>
      </c>
      <c r="H6" s="31" t="s">
        <v>51</v>
      </c>
      <c r="J6" s="64" t="s">
        <v>63</v>
      </c>
      <c r="K6" s="65"/>
      <c r="L6" s="37" t="str">
        <f>IFERROR(AVERAGE(E7:E306),"")</f>
        <v/>
      </c>
    </row>
    <row r="7" spans="1:12" x14ac:dyDescent="0.25">
      <c r="A7" s="18">
        <v>1</v>
      </c>
      <c r="B7" s="18"/>
      <c r="C7" s="46"/>
      <c r="D7" s="46"/>
      <c r="E7" s="46"/>
      <c r="F7" s="34"/>
      <c r="G7" s="34"/>
      <c r="H7" s="34"/>
      <c r="J7" s="64" t="s">
        <v>64</v>
      </c>
      <c r="K7" s="65"/>
      <c r="L7" s="37">
        <f>IFERROR(MAX(E7:E306)-MIN(E7:E306),"")</f>
        <v>0</v>
      </c>
    </row>
    <row r="8" spans="1:12" x14ac:dyDescent="0.25">
      <c r="A8" s="18">
        <v>2</v>
      </c>
      <c r="B8" s="18"/>
      <c r="C8" s="46"/>
      <c r="D8" s="46"/>
      <c r="E8" s="46"/>
      <c r="F8" s="34"/>
      <c r="G8" s="34"/>
      <c r="H8" s="34"/>
    </row>
    <row r="9" spans="1:12" x14ac:dyDescent="0.25">
      <c r="A9" s="18">
        <v>3</v>
      </c>
      <c r="B9" s="18"/>
      <c r="C9" s="46"/>
      <c r="D9" s="46"/>
      <c r="E9" s="46"/>
      <c r="F9" s="34"/>
      <c r="G9" s="34"/>
      <c r="H9" s="34"/>
    </row>
    <row r="10" spans="1:12" x14ac:dyDescent="0.25">
      <c r="A10" s="18">
        <v>4</v>
      </c>
      <c r="B10" s="18"/>
      <c r="C10" s="46"/>
      <c r="D10" s="46"/>
      <c r="E10" s="46"/>
      <c r="F10" s="34"/>
      <c r="G10" s="34"/>
      <c r="H10" s="34"/>
    </row>
    <row r="11" spans="1:12" x14ac:dyDescent="0.25">
      <c r="A11" s="18">
        <v>5</v>
      </c>
      <c r="B11" s="18"/>
      <c r="C11" s="46"/>
      <c r="D11" s="46"/>
      <c r="E11" s="46"/>
      <c r="F11" s="34"/>
      <c r="G11" s="34"/>
      <c r="H11" s="34"/>
    </row>
    <row r="12" spans="1:12" x14ac:dyDescent="0.25">
      <c r="A12" s="18">
        <v>6</v>
      </c>
      <c r="B12" s="18"/>
      <c r="C12" s="46"/>
      <c r="D12" s="46"/>
      <c r="E12" s="46"/>
      <c r="F12" s="34"/>
      <c r="G12" s="34"/>
      <c r="H12" s="34"/>
    </row>
    <row r="13" spans="1:12" x14ac:dyDescent="0.25">
      <c r="A13" s="18">
        <v>7</v>
      </c>
      <c r="B13" s="18"/>
      <c r="C13" s="46"/>
      <c r="D13" s="46"/>
      <c r="E13" s="46"/>
      <c r="F13" s="34"/>
      <c r="G13" s="34"/>
      <c r="H13" s="34"/>
    </row>
    <row r="14" spans="1:12" x14ac:dyDescent="0.25">
      <c r="A14" s="18">
        <v>8</v>
      </c>
      <c r="B14" s="18"/>
      <c r="C14" s="46"/>
      <c r="D14" s="46"/>
      <c r="E14" s="46"/>
      <c r="F14" s="34"/>
      <c r="G14" s="34"/>
      <c r="H14" s="34"/>
    </row>
    <row r="15" spans="1:12" x14ac:dyDescent="0.25">
      <c r="A15" s="18">
        <v>9</v>
      </c>
      <c r="B15" s="18"/>
      <c r="C15" s="46"/>
      <c r="D15" s="46"/>
      <c r="E15" s="46"/>
      <c r="F15" s="34"/>
      <c r="G15" s="34"/>
      <c r="H15" s="34"/>
    </row>
    <row r="16" spans="1:12" x14ac:dyDescent="0.25">
      <c r="A16" s="18">
        <v>10</v>
      </c>
      <c r="B16" s="18"/>
      <c r="C16" s="46"/>
      <c r="D16" s="46"/>
      <c r="E16" s="46"/>
      <c r="F16" s="34"/>
      <c r="G16" s="34"/>
      <c r="H16" s="34"/>
    </row>
    <row r="17" spans="1:8" x14ac:dyDescent="0.25">
      <c r="A17" s="18">
        <v>11</v>
      </c>
      <c r="B17" s="18"/>
      <c r="C17" s="46"/>
      <c r="D17" s="46"/>
      <c r="E17" s="46"/>
      <c r="F17" s="34"/>
      <c r="G17" s="34"/>
      <c r="H17" s="34"/>
    </row>
    <row r="18" spans="1:8" x14ac:dyDescent="0.25">
      <c r="A18" s="18">
        <v>12</v>
      </c>
      <c r="B18" s="18"/>
      <c r="C18" s="46"/>
      <c r="D18" s="46"/>
      <c r="E18" s="46"/>
      <c r="F18" s="34"/>
      <c r="G18" s="34"/>
      <c r="H18" s="34"/>
    </row>
    <row r="19" spans="1:8" x14ac:dyDescent="0.25">
      <c r="A19" s="18">
        <v>13</v>
      </c>
      <c r="B19" s="18"/>
      <c r="C19" s="46"/>
      <c r="D19" s="46"/>
      <c r="E19" s="46"/>
      <c r="F19" s="34"/>
      <c r="G19" s="34"/>
      <c r="H19" s="34"/>
    </row>
    <row r="20" spans="1:8" x14ac:dyDescent="0.25">
      <c r="A20" s="18">
        <v>14</v>
      </c>
      <c r="B20" s="18"/>
      <c r="C20" s="46"/>
      <c r="D20" s="46"/>
      <c r="E20" s="46"/>
      <c r="F20" s="34"/>
      <c r="G20" s="34"/>
      <c r="H20" s="34"/>
    </row>
    <row r="21" spans="1:8" x14ac:dyDescent="0.25">
      <c r="A21" s="18">
        <v>15</v>
      </c>
      <c r="B21" s="18"/>
      <c r="C21" s="46"/>
      <c r="D21" s="46"/>
      <c r="E21" s="46"/>
      <c r="F21" s="34"/>
      <c r="G21" s="34"/>
      <c r="H21" s="34"/>
    </row>
    <row r="22" spans="1:8" x14ac:dyDescent="0.25">
      <c r="A22" s="18">
        <v>16</v>
      </c>
      <c r="B22" s="18"/>
      <c r="C22" s="46"/>
      <c r="D22" s="46"/>
      <c r="E22" s="46"/>
      <c r="F22" s="34"/>
      <c r="G22" s="34"/>
      <c r="H22" s="34"/>
    </row>
    <row r="23" spans="1:8" x14ac:dyDescent="0.25">
      <c r="A23" s="18">
        <v>17</v>
      </c>
      <c r="B23" s="18"/>
      <c r="C23" s="46"/>
      <c r="D23" s="46"/>
      <c r="E23" s="46"/>
      <c r="F23" s="34"/>
      <c r="G23" s="34"/>
      <c r="H23" s="34"/>
    </row>
    <row r="24" spans="1:8" x14ac:dyDescent="0.25">
      <c r="A24" s="18">
        <v>18</v>
      </c>
      <c r="B24" s="18"/>
      <c r="C24" s="46"/>
      <c r="D24" s="46"/>
      <c r="E24" s="46"/>
      <c r="F24" s="34"/>
      <c r="G24" s="34"/>
      <c r="H24" s="34"/>
    </row>
    <row r="25" spans="1:8" x14ac:dyDescent="0.25">
      <c r="A25" s="18">
        <v>19</v>
      </c>
      <c r="B25" s="18"/>
      <c r="C25" s="46"/>
      <c r="D25" s="46"/>
      <c r="E25" s="46"/>
      <c r="F25" s="34"/>
      <c r="G25" s="34"/>
      <c r="H25" s="34"/>
    </row>
    <row r="26" spans="1:8" x14ac:dyDescent="0.25">
      <c r="A26" s="18">
        <v>20</v>
      </c>
      <c r="B26" s="18"/>
      <c r="C26" s="46"/>
      <c r="D26" s="46"/>
      <c r="E26" s="46"/>
      <c r="F26" s="34"/>
      <c r="G26" s="34"/>
      <c r="H26" s="34"/>
    </row>
    <row r="27" spans="1:8" x14ac:dyDescent="0.25">
      <c r="A27" s="18">
        <v>21</v>
      </c>
      <c r="B27" s="18"/>
      <c r="C27" s="46"/>
      <c r="D27" s="46"/>
      <c r="E27" s="46"/>
      <c r="F27" s="34"/>
      <c r="G27" s="34"/>
      <c r="H27" s="34"/>
    </row>
    <row r="28" spans="1:8" x14ac:dyDescent="0.25">
      <c r="A28" s="18">
        <v>22</v>
      </c>
      <c r="B28" s="18"/>
      <c r="C28" s="46"/>
      <c r="D28" s="46"/>
      <c r="E28" s="46"/>
      <c r="F28" s="34"/>
      <c r="G28" s="34"/>
      <c r="H28" s="34"/>
    </row>
    <row r="29" spans="1:8" x14ac:dyDescent="0.25">
      <c r="A29" s="18">
        <v>23</v>
      </c>
      <c r="B29" s="18"/>
      <c r="C29" s="46"/>
      <c r="D29" s="46"/>
      <c r="E29" s="46"/>
      <c r="F29" s="34"/>
      <c r="G29" s="34"/>
      <c r="H29" s="34"/>
    </row>
    <row r="30" spans="1:8" x14ac:dyDescent="0.25">
      <c r="A30" s="18">
        <v>24</v>
      </c>
      <c r="B30" s="18"/>
      <c r="C30" s="46"/>
      <c r="D30" s="46"/>
      <c r="E30" s="46"/>
      <c r="F30" s="34"/>
      <c r="G30" s="34"/>
      <c r="H30" s="34"/>
    </row>
    <row r="31" spans="1:8" x14ac:dyDescent="0.25">
      <c r="A31" s="18">
        <v>25</v>
      </c>
      <c r="B31" s="18"/>
      <c r="C31" s="46"/>
      <c r="D31" s="46"/>
      <c r="E31" s="46"/>
      <c r="F31" s="34"/>
      <c r="G31" s="34"/>
      <c r="H31" s="34"/>
    </row>
    <row r="32" spans="1:8" x14ac:dyDescent="0.25">
      <c r="A32" s="18">
        <v>26</v>
      </c>
      <c r="B32" s="18"/>
      <c r="C32" s="46"/>
      <c r="D32" s="46"/>
      <c r="E32" s="46"/>
      <c r="F32" s="34"/>
      <c r="G32" s="34"/>
      <c r="H32" s="34"/>
    </row>
    <row r="33" spans="1:8" x14ac:dyDescent="0.25">
      <c r="A33" s="18">
        <v>27</v>
      </c>
      <c r="B33" s="18"/>
      <c r="C33" s="46"/>
      <c r="D33" s="46"/>
      <c r="E33" s="46"/>
      <c r="F33" s="34"/>
      <c r="G33" s="34"/>
      <c r="H33" s="34"/>
    </row>
    <row r="34" spans="1:8" x14ac:dyDescent="0.25">
      <c r="A34" s="18">
        <v>28</v>
      </c>
      <c r="B34" s="18"/>
      <c r="C34" s="46"/>
      <c r="D34" s="46"/>
      <c r="E34" s="46"/>
      <c r="F34" s="34"/>
      <c r="G34" s="34"/>
      <c r="H34" s="34"/>
    </row>
    <row r="35" spans="1:8" x14ac:dyDescent="0.25">
      <c r="A35" s="18">
        <v>29</v>
      </c>
      <c r="B35" s="18"/>
      <c r="C35" s="46"/>
      <c r="D35" s="46"/>
      <c r="E35" s="46"/>
      <c r="F35" s="34"/>
      <c r="G35" s="34"/>
      <c r="H35" s="34"/>
    </row>
    <row r="36" spans="1:8" x14ac:dyDescent="0.25">
      <c r="A36" s="18">
        <v>30</v>
      </c>
      <c r="B36" s="18"/>
      <c r="C36" s="46"/>
      <c r="D36" s="46"/>
      <c r="E36" s="46"/>
      <c r="F36" s="34"/>
      <c r="G36" s="34"/>
      <c r="H36" s="34"/>
    </row>
    <row r="37" spans="1:8" x14ac:dyDescent="0.25">
      <c r="A37" s="18">
        <v>31</v>
      </c>
      <c r="B37" s="18"/>
      <c r="C37" s="46"/>
      <c r="D37" s="46"/>
      <c r="E37" s="46"/>
      <c r="F37" s="34"/>
      <c r="G37" s="34"/>
      <c r="H37" s="34"/>
    </row>
    <row r="38" spans="1:8" x14ac:dyDescent="0.25">
      <c r="A38" s="18">
        <v>32</v>
      </c>
      <c r="B38" s="18"/>
      <c r="C38" s="46"/>
      <c r="D38" s="46"/>
      <c r="E38" s="46"/>
      <c r="F38" s="34"/>
      <c r="G38" s="34"/>
      <c r="H38" s="34"/>
    </row>
    <row r="39" spans="1:8" x14ac:dyDescent="0.25">
      <c r="A39" s="18">
        <v>33</v>
      </c>
      <c r="B39" s="18"/>
      <c r="C39" s="46"/>
      <c r="D39" s="46"/>
      <c r="E39" s="46"/>
      <c r="F39" s="34"/>
      <c r="G39" s="34"/>
      <c r="H39" s="34"/>
    </row>
    <row r="40" spans="1:8" x14ac:dyDescent="0.25">
      <c r="A40" s="18">
        <v>34</v>
      </c>
      <c r="B40" s="18"/>
      <c r="C40" s="46"/>
      <c r="D40" s="46"/>
      <c r="E40" s="46"/>
      <c r="F40" s="34"/>
      <c r="G40" s="34"/>
      <c r="H40" s="34"/>
    </row>
    <row r="41" spans="1:8" x14ac:dyDescent="0.25">
      <c r="A41" s="18">
        <v>35</v>
      </c>
      <c r="B41" s="18"/>
      <c r="C41" s="46"/>
      <c r="D41" s="46"/>
      <c r="E41" s="46"/>
      <c r="F41" s="34"/>
      <c r="G41" s="34"/>
      <c r="H41" s="34"/>
    </row>
    <row r="42" spans="1:8" x14ac:dyDescent="0.25">
      <c r="A42" s="18">
        <v>36</v>
      </c>
      <c r="B42" s="18"/>
      <c r="C42" s="46"/>
      <c r="D42" s="46"/>
      <c r="E42" s="46"/>
      <c r="F42" s="34"/>
      <c r="G42" s="34"/>
      <c r="H42" s="34"/>
    </row>
    <row r="43" spans="1:8" x14ac:dyDescent="0.25">
      <c r="A43" s="18">
        <v>37</v>
      </c>
      <c r="B43" s="18"/>
      <c r="C43" s="46"/>
      <c r="D43" s="46"/>
      <c r="E43" s="46"/>
      <c r="F43" s="34"/>
      <c r="G43" s="34"/>
      <c r="H43" s="34"/>
    </row>
    <row r="44" spans="1:8" x14ac:dyDescent="0.25">
      <c r="A44" s="18">
        <v>38</v>
      </c>
      <c r="B44" s="18"/>
      <c r="C44" s="46"/>
      <c r="D44" s="46"/>
      <c r="E44" s="46"/>
      <c r="F44" s="34"/>
      <c r="G44" s="34"/>
      <c r="H44" s="34"/>
    </row>
    <row r="45" spans="1:8" x14ac:dyDescent="0.25">
      <c r="A45" s="18">
        <v>39</v>
      </c>
      <c r="B45" s="18"/>
      <c r="C45" s="46"/>
      <c r="D45" s="46"/>
      <c r="E45" s="46"/>
      <c r="F45" s="34"/>
      <c r="G45" s="34"/>
      <c r="H45" s="34"/>
    </row>
    <row r="46" spans="1:8" x14ac:dyDescent="0.25">
      <c r="A46" s="18">
        <v>40</v>
      </c>
      <c r="B46" s="18"/>
      <c r="C46" s="46"/>
      <c r="D46" s="46"/>
      <c r="E46" s="46"/>
      <c r="F46" s="34"/>
      <c r="G46" s="34"/>
      <c r="H46" s="34"/>
    </row>
    <row r="47" spans="1:8" x14ac:dyDescent="0.25">
      <c r="A47" s="18">
        <v>41</v>
      </c>
      <c r="B47" s="18"/>
      <c r="C47" s="46"/>
      <c r="D47" s="46"/>
      <c r="E47" s="46"/>
      <c r="F47" s="34"/>
      <c r="G47" s="34"/>
      <c r="H47" s="34"/>
    </row>
    <row r="48" spans="1:8" x14ac:dyDescent="0.25">
      <c r="A48" s="18">
        <v>42</v>
      </c>
      <c r="B48" s="18"/>
      <c r="C48" s="46"/>
      <c r="D48" s="46"/>
      <c r="E48" s="46"/>
      <c r="F48" s="34"/>
      <c r="G48" s="34"/>
      <c r="H48" s="34"/>
    </row>
    <row r="49" spans="1:8" x14ac:dyDescent="0.25">
      <c r="A49" s="18">
        <v>43</v>
      </c>
      <c r="B49" s="18"/>
      <c r="C49" s="46"/>
      <c r="D49" s="46"/>
      <c r="E49" s="46"/>
      <c r="F49" s="34"/>
      <c r="G49" s="34"/>
      <c r="H49" s="34"/>
    </row>
    <row r="50" spans="1:8" x14ac:dyDescent="0.25">
      <c r="A50" s="18">
        <v>44</v>
      </c>
      <c r="B50" s="18"/>
      <c r="C50" s="46"/>
      <c r="D50" s="46"/>
      <c r="E50" s="46"/>
      <c r="F50" s="34"/>
      <c r="G50" s="34"/>
      <c r="H50" s="34"/>
    </row>
    <row r="51" spans="1:8" x14ac:dyDescent="0.25">
      <c r="A51" s="18">
        <v>45</v>
      </c>
      <c r="B51" s="18"/>
      <c r="C51" s="46"/>
      <c r="D51" s="46"/>
      <c r="E51" s="46"/>
      <c r="F51" s="34"/>
      <c r="G51" s="34"/>
      <c r="H51" s="34"/>
    </row>
    <row r="52" spans="1:8" x14ac:dyDescent="0.25">
      <c r="A52" s="18">
        <v>46</v>
      </c>
      <c r="B52" s="18"/>
      <c r="C52" s="46"/>
      <c r="D52" s="46"/>
      <c r="E52" s="46"/>
      <c r="F52" s="34"/>
      <c r="G52" s="34"/>
      <c r="H52" s="34"/>
    </row>
    <row r="53" spans="1:8" x14ac:dyDescent="0.25">
      <c r="A53" s="18">
        <v>47</v>
      </c>
      <c r="B53" s="18"/>
      <c r="C53" s="46"/>
      <c r="D53" s="46"/>
      <c r="E53" s="46"/>
      <c r="F53" s="34"/>
      <c r="G53" s="34"/>
      <c r="H53" s="34"/>
    </row>
    <row r="54" spans="1:8" x14ac:dyDescent="0.25">
      <c r="A54" s="18">
        <v>48</v>
      </c>
      <c r="B54" s="18"/>
      <c r="C54" s="46"/>
      <c r="D54" s="46"/>
      <c r="E54" s="46"/>
      <c r="F54" s="34"/>
      <c r="G54" s="34"/>
      <c r="H54" s="34"/>
    </row>
    <row r="55" spans="1:8" x14ac:dyDescent="0.25">
      <c r="A55" s="18">
        <v>49</v>
      </c>
      <c r="B55" s="18"/>
      <c r="C55" s="46"/>
      <c r="D55" s="46"/>
      <c r="E55" s="46"/>
      <c r="F55" s="34"/>
      <c r="G55" s="34"/>
      <c r="H55" s="34"/>
    </row>
    <row r="56" spans="1:8" x14ac:dyDescent="0.25">
      <c r="A56" s="18">
        <v>50</v>
      </c>
      <c r="B56" s="18"/>
      <c r="C56" s="46"/>
      <c r="D56" s="46"/>
      <c r="E56" s="46"/>
      <c r="F56" s="34"/>
      <c r="G56" s="34"/>
      <c r="H56" s="34"/>
    </row>
    <row r="57" spans="1:8" x14ac:dyDescent="0.25">
      <c r="A57" s="18">
        <v>51</v>
      </c>
      <c r="B57" s="18"/>
      <c r="C57" s="46"/>
      <c r="D57" s="46"/>
      <c r="E57" s="46"/>
      <c r="F57" s="34"/>
      <c r="G57" s="34"/>
      <c r="H57" s="34"/>
    </row>
    <row r="58" spans="1:8" x14ac:dyDescent="0.25">
      <c r="A58" s="18">
        <v>52</v>
      </c>
      <c r="B58" s="18"/>
      <c r="C58" s="46"/>
      <c r="D58" s="46"/>
      <c r="E58" s="46"/>
      <c r="F58" s="34"/>
      <c r="G58" s="34"/>
      <c r="H58" s="34"/>
    </row>
    <row r="59" spans="1:8" x14ac:dyDescent="0.25">
      <c r="A59" s="18">
        <v>53</v>
      </c>
      <c r="B59" s="18"/>
      <c r="C59" s="46"/>
      <c r="D59" s="46"/>
      <c r="E59" s="46"/>
      <c r="F59" s="34"/>
      <c r="G59" s="34"/>
      <c r="H59" s="34"/>
    </row>
    <row r="60" spans="1:8" x14ac:dyDescent="0.25">
      <c r="A60" s="18">
        <v>54</v>
      </c>
      <c r="B60" s="18"/>
      <c r="C60" s="46"/>
      <c r="D60" s="46"/>
      <c r="E60" s="46"/>
      <c r="F60" s="34"/>
      <c r="G60" s="34"/>
      <c r="H60" s="34"/>
    </row>
    <row r="61" spans="1:8" x14ac:dyDescent="0.25">
      <c r="A61" s="18">
        <v>55</v>
      </c>
      <c r="B61" s="18"/>
      <c r="C61" s="46"/>
      <c r="D61" s="46"/>
      <c r="E61" s="46"/>
      <c r="F61" s="34"/>
      <c r="G61" s="34"/>
      <c r="H61" s="34"/>
    </row>
    <row r="62" spans="1:8" x14ac:dyDescent="0.25">
      <c r="A62" s="18">
        <v>56</v>
      </c>
      <c r="B62" s="18"/>
      <c r="C62" s="46"/>
      <c r="D62" s="46"/>
      <c r="E62" s="46"/>
      <c r="F62" s="34"/>
      <c r="G62" s="34"/>
      <c r="H62" s="34"/>
    </row>
    <row r="63" spans="1:8" x14ac:dyDescent="0.25">
      <c r="A63" s="18">
        <v>57</v>
      </c>
      <c r="B63" s="18"/>
      <c r="C63" s="46"/>
      <c r="D63" s="46"/>
      <c r="E63" s="46"/>
      <c r="F63" s="34"/>
      <c r="G63" s="34"/>
      <c r="H63" s="34"/>
    </row>
    <row r="64" spans="1:8" x14ac:dyDescent="0.25">
      <c r="A64" s="18">
        <v>58</v>
      </c>
      <c r="B64" s="18"/>
      <c r="C64" s="46"/>
      <c r="D64" s="46"/>
      <c r="E64" s="46"/>
      <c r="F64" s="34"/>
      <c r="G64" s="34"/>
      <c r="H64" s="34"/>
    </row>
    <row r="65" spans="1:8" x14ac:dyDescent="0.25">
      <c r="A65" s="18">
        <v>59</v>
      </c>
      <c r="B65" s="18"/>
      <c r="C65" s="46"/>
      <c r="D65" s="46"/>
      <c r="E65" s="46"/>
      <c r="F65" s="34"/>
      <c r="G65" s="34"/>
      <c r="H65" s="34"/>
    </row>
    <row r="66" spans="1:8" x14ac:dyDescent="0.25">
      <c r="A66" s="18">
        <v>60</v>
      </c>
      <c r="B66" s="18"/>
      <c r="C66" s="46"/>
      <c r="D66" s="46"/>
      <c r="E66" s="46"/>
      <c r="F66" s="34"/>
      <c r="G66" s="34"/>
      <c r="H66" s="34"/>
    </row>
    <row r="67" spans="1:8" x14ac:dyDescent="0.25">
      <c r="A67" s="18">
        <v>61</v>
      </c>
      <c r="B67" s="18"/>
      <c r="C67" s="46"/>
      <c r="D67" s="46"/>
      <c r="E67" s="46"/>
      <c r="F67" s="34"/>
      <c r="G67" s="34"/>
      <c r="H67" s="34"/>
    </row>
    <row r="68" spans="1:8" x14ac:dyDescent="0.25">
      <c r="A68" s="18">
        <v>62</v>
      </c>
      <c r="B68" s="18"/>
      <c r="C68" s="46"/>
      <c r="D68" s="46"/>
      <c r="E68" s="46"/>
      <c r="F68" s="34"/>
      <c r="G68" s="34"/>
      <c r="H68" s="34"/>
    </row>
    <row r="69" spans="1:8" x14ac:dyDescent="0.25">
      <c r="A69" s="18">
        <v>63</v>
      </c>
      <c r="B69" s="18"/>
      <c r="C69" s="46"/>
      <c r="D69" s="46"/>
      <c r="E69" s="46"/>
      <c r="F69" s="34"/>
      <c r="G69" s="34"/>
      <c r="H69" s="34"/>
    </row>
    <row r="70" spans="1:8" x14ac:dyDescent="0.25">
      <c r="A70" s="18">
        <v>64</v>
      </c>
      <c r="B70" s="18"/>
      <c r="C70" s="46"/>
      <c r="D70" s="46"/>
      <c r="E70" s="46"/>
      <c r="F70" s="34"/>
      <c r="G70" s="34"/>
      <c r="H70" s="34"/>
    </row>
    <row r="71" spans="1:8" x14ac:dyDescent="0.25">
      <c r="A71" s="18">
        <v>65</v>
      </c>
      <c r="B71" s="18"/>
      <c r="C71" s="46"/>
      <c r="D71" s="46"/>
      <c r="E71" s="46"/>
      <c r="F71" s="34"/>
      <c r="G71" s="34"/>
      <c r="H71" s="34"/>
    </row>
    <row r="72" spans="1:8" x14ac:dyDescent="0.25">
      <c r="A72" s="18">
        <v>66</v>
      </c>
      <c r="B72" s="18"/>
      <c r="C72" s="46"/>
      <c r="D72" s="46"/>
      <c r="E72" s="46"/>
      <c r="F72" s="34"/>
      <c r="G72" s="34"/>
      <c r="H72" s="34"/>
    </row>
    <row r="73" spans="1:8" x14ac:dyDescent="0.25">
      <c r="A73" s="18">
        <v>67</v>
      </c>
      <c r="B73" s="18"/>
      <c r="C73" s="46"/>
      <c r="D73" s="46"/>
      <c r="E73" s="46"/>
      <c r="F73" s="34"/>
      <c r="G73" s="34"/>
      <c r="H73" s="34"/>
    </row>
    <row r="74" spans="1:8" x14ac:dyDescent="0.25">
      <c r="A74" s="18">
        <v>68</v>
      </c>
      <c r="B74" s="18"/>
      <c r="C74" s="46"/>
      <c r="D74" s="46"/>
      <c r="E74" s="46"/>
      <c r="F74" s="34"/>
      <c r="G74" s="34"/>
      <c r="H74" s="34"/>
    </row>
    <row r="75" spans="1:8" x14ac:dyDescent="0.25">
      <c r="A75" s="18">
        <v>69</v>
      </c>
      <c r="B75" s="18"/>
      <c r="C75" s="46"/>
      <c r="D75" s="46"/>
      <c r="E75" s="46"/>
      <c r="F75" s="34"/>
      <c r="G75" s="34"/>
      <c r="H75" s="34"/>
    </row>
    <row r="76" spans="1:8" x14ac:dyDescent="0.25">
      <c r="A76" s="18">
        <v>70</v>
      </c>
      <c r="B76" s="18"/>
      <c r="C76" s="46"/>
      <c r="D76" s="46"/>
      <c r="E76" s="46"/>
      <c r="F76" s="34"/>
      <c r="G76" s="34"/>
      <c r="H76" s="34"/>
    </row>
    <row r="77" spans="1:8" x14ac:dyDescent="0.25">
      <c r="A77" s="18">
        <v>71</v>
      </c>
      <c r="B77" s="18"/>
      <c r="C77" s="46"/>
      <c r="D77" s="46"/>
      <c r="E77" s="46"/>
      <c r="F77" s="34"/>
      <c r="G77" s="34"/>
      <c r="H77" s="34"/>
    </row>
    <row r="78" spans="1:8" x14ac:dyDescent="0.25">
      <c r="A78" s="18">
        <v>72</v>
      </c>
      <c r="B78" s="18"/>
      <c r="C78" s="46"/>
      <c r="D78" s="46"/>
      <c r="E78" s="46"/>
      <c r="F78" s="34"/>
      <c r="G78" s="34"/>
      <c r="H78" s="34"/>
    </row>
    <row r="79" spans="1:8" x14ac:dyDescent="0.25">
      <c r="A79" s="18">
        <v>73</v>
      </c>
      <c r="B79" s="18"/>
      <c r="C79" s="46"/>
      <c r="D79" s="46"/>
      <c r="E79" s="46"/>
      <c r="F79" s="34"/>
      <c r="G79" s="34"/>
      <c r="H79" s="34"/>
    </row>
    <row r="80" spans="1:8" x14ac:dyDescent="0.25">
      <c r="A80" s="18">
        <v>74</v>
      </c>
      <c r="B80" s="18"/>
      <c r="C80" s="46"/>
      <c r="D80" s="46"/>
      <c r="E80" s="46"/>
      <c r="F80" s="34"/>
      <c r="G80" s="34"/>
      <c r="H80" s="34"/>
    </row>
    <row r="81" spans="1:8" x14ac:dyDescent="0.25">
      <c r="A81" s="18">
        <v>75</v>
      </c>
      <c r="B81" s="18"/>
      <c r="C81" s="46"/>
      <c r="D81" s="46"/>
      <c r="E81" s="46"/>
      <c r="F81" s="34"/>
      <c r="G81" s="34"/>
      <c r="H81" s="34"/>
    </row>
    <row r="82" spans="1:8" x14ac:dyDescent="0.25">
      <c r="A82" s="18">
        <v>76</v>
      </c>
      <c r="B82" s="18"/>
      <c r="C82" s="46"/>
      <c r="D82" s="46"/>
      <c r="E82" s="46"/>
      <c r="F82" s="34"/>
      <c r="G82" s="34"/>
      <c r="H82" s="34"/>
    </row>
    <row r="83" spans="1:8" x14ac:dyDescent="0.25">
      <c r="A83" s="18">
        <v>77</v>
      </c>
      <c r="B83" s="18"/>
      <c r="C83" s="46"/>
      <c r="D83" s="46"/>
      <c r="E83" s="46"/>
      <c r="F83" s="34"/>
      <c r="G83" s="34"/>
      <c r="H83" s="34"/>
    </row>
    <row r="84" spans="1:8" x14ac:dyDescent="0.25">
      <c r="A84" s="18">
        <v>78</v>
      </c>
      <c r="B84" s="18"/>
      <c r="C84" s="46"/>
      <c r="D84" s="46"/>
      <c r="E84" s="46"/>
      <c r="F84" s="34"/>
      <c r="G84" s="34"/>
      <c r="H84" s="34"/>
    </row>
    <row r="85" spans="1:8" x14ac:dyDescent="0.25">
      <c r="A85" s="18">
        <v>79</v>
      </c>
      <c r="B85" s="18"/>
      <c r="C85" s="46"/>
      <c r="D85" s="46"/>
      <c r="E85" s="46"/>
      <c r="F85" s="34"/>
      <c r="G85" s="34"/>
      <c r="H85" s="34"/>
    </row>
    <row r="86" spans="1:8" x14ac:dyDescent="0.25">
      <c r="A86" s="18">
        <v>80</v>
      </c>
      <c r="B86" s="18"/>
      <c r="C86" s="46"/>
      <c r="D86" s="46"/>
      <c r="E86" s="46"/>
      <c r="F86" s="34"/>
      <c r="G86" s="34"/>
      <c r="H86" s="34"/>
    </row>
    <row r="87" spans="1:8" x14ac:dyDescent="0.25">
      <c r="A87" s="18">
        <v>81</v>
      </c>
      <c r="B87" s="18"/>
      <c r="C87" s="46"/>
      <c r="D87" s="46"/>
      <c r="E87" s="46"/>
      <c r="F87" s="34"/>
      <c r="G87" s="34"/>
      <c r="H87" s="34"/>
    </row>
    <row r="88" spans="1:8" x14ac:dyDescent="0.25">
      <c r="A88" s="18">
        <v>82</v>
      </c>
      <c r="B88" s="18"/>
      <c r="C88" s="46"/>
      <c r="D88" s="46"/>
      <c r="E88" s="46"/>
      <c r="F88" s="34"/>
      <c r="G88" s="34"/>
      <c r="H88" s="34"/>
    </row>
    <row r="89" spans="1:8" x14ac:dyDescent="0.25">
      <c r="A89" s="18">
        <v>83</v>
      </c>
      <c r="B89" s="18"/>
      <c r="C89" s="46"/>
      <c r="D89" s="46"/>
      <c r="E89" s="46"/>
      <c r="F89" s="34"/>
      <c r="G89" s="34"/>
      <c r="H89" s="34"/>
    </row>
    <row r="90" spans="1:8" x14ac:dyDescent="0.25">
      <c r="A90" s="18">
        <v>84</v>
      </c>
      <c r="B90" s="18"/>
      <c r="C90" s="46"/>
      <c r="D90" s="46"/>
      <c r="E90" s="46"/>
      <c r="F90" s="34"/>
      <c r="G90" s="34"/>
      <c r="H90" s="34"/>
    </row>
    <row r="91" spans="1:8" x14ac:dyDescent="0.25">
      <c r="A91" s="18">
        <v>85</v>
      </c>
      <c r="B91" s="18"/>
      <c r="C91" s="46"/>
      <c r="D91" s="46"/>
      <c r="E91" s="46"/>
      <c r="F91" s="34"/>
      <c r="G91" s="34"/>
      <c r="H91" s="34"/>
    </row>
    <row r="92" spans="1:8" x14ac:dyDescent="0.25">
      <c r="A92" s="18">
        <v>86</v>
      </c>
      <c r="B92" s="18"/>
      <c r="C92" s="46"/>
      <c r="D92" s="46"/>
      <c r="E92" s="46"/>
      <c r="F92" s="34"/>
      <c r="G92" s="34"/>
      <c r="H92" s="34"/>
    </row>
    <row r="93" spans="1:8" x14ac:dyDescent="0.25">
      <c r="A93" s="18">
        <v>87</v>
      </c>
      <c r="B93" s="18"/>
      <c r="C93" s="46"/>
      <c r="D93" s="46"/>
      <c r="E93" s="46"/>
      <c r="F93" s="34"/>
      <c r="G93" s="34"/>
      <c r="H93" s="34"/>
    </row>
    <row r="94" spans="1:8" x14ac:dyDescent="0.25">
      <c r="A94" s="18">
        <v>88</v>
      </c>
      <c r="B94" s="18"/>
      <c r="C94" s="46"/>
      <c r="D94" s="46"/>
      <c r="E94" s="46"/>
      <c r="F94" s="34"/>
      <c r="G94" s="34"/>
      <c r="H94" s="34"/>
    </row>
    <row r="95" spans="1:8" x14ac:dyDescent="0.25">
      <c r="A95" s="18">
        <v>89</v>
      </c>
      <c r="B95" s="18"/>
      <c r="C95" s="46"/>
      <c r="D95" s="46"/>
      <c r="E95" s="46"/>
      <c r="F95" s="34"/>
      <c r="G95" s="34"/>
      <c r="H95" s="34"/>
    </row>
    <row r="96" spans="1:8" x14ac:dyDescent="0.25">
      <c r="A96" s="18">
        <v>90</v>
      </c>
      <c r="B96" s="18"/>
      <c r="C96" s="46"/>
      <c r="D96" s="46"/>
      <c r="E96" s="46"/>
      <c r="F96" s="34"/>
      <c r="G96" s="34"/>
      <c r="H96" s="34"/>
    </row>
    <row r="97" spans="1:8" x14ac:dyDescent="0.25">
      <c r="A97" s="18">
        <v>91</v>
      </c>
      <c r="B97" s="18"/>
      <c r="C97" s="46"/>
      <c r="D97" s="46"/>
      <c r="E97" s="46"/>
      <c r="F97" s="34"/>
      <c r="G97" s="34"/>
      <c r="H97" s="34"/>
    </row>
    <row r="98" spans="1:8" x14ac:dyDescent="0.25">
      <c r="A98" s="18">
        <v>92</v>
      </c>
      <c r="B98" s="18"/>
      <c r="C98" s="46"/>
      <c r="D98" s="46"/>
      <c r="E98" s="46"/>
      <c r="F98" s="34"/>
      <c r="G98" s="34"/>
      <c r="H98" s="34"/>
    </row>
    <row r="99" spans="1:8" x14ac:dyDescent="0.25">
      <c r="A99" s="18">
        <v>93</v>
      </c>
      <c r="B99" s="18"/>
      <c r="C99" s="46"/>
      <c r="D99" s="46"/>
      <c r="E99" s="46"/>
      <c r="F99" s="34"/>
      <c r="G99" s="34"/>
      <c r="H99" s="34"/>
    </row>
    <row r="100" spans="1:8" x14ac:dyDescent="0.25">
      <c r="A100" s="18">
        <v>94</v>
      </c>
      <c r="B100" s="18"/>
      <c r="C100" s="46"/>
      <c r="D100" s="46"/>
      <c r="E100" s="46"/>
      <c r="F100" s="34"/>
      <c r="G100" s="34"/>
      <c r="H100" s="34"/>
    </row>
    <row r="101" spans="1:8" x14ac:dyDescent="0.25">
      <c r="A101" s="18">
        <v>95</v>
      </c>
      <c r="B101" s="18"/>
      <c r="C101" s="46"/>
      <c r="D101" s="46"/>
      <c r="E101" s="46"/>
      <c r="F101" s="34"/>
      <c r="G101" s="34"/>
      <c r="H101" s="34"/>
    </row>
    <row r="102" spans="1:8" x14ac:dyDescent="0.25">
      <c r="A102" s="18">
        <v>96</v>
      </c>
      <c r="B102" s="18"/>
      <c r="C102" s="46"/>
      <c r="D102" s="46"/>
      <c r="E102" s="46"/>
      <c r="F102" s="34"/>
      <c r="G102" s="34"/>
      <c r="H102" s="34"/>
    </row>
    <row r="103" spans="1:8" x14ac:dyDescent="0.25">
      <c r="A103" s="18">
        <v>97</v>
      </c>
      <c r="B103" s="18"/>
      <c r="C103" s="46"/>
      <c r="D103" s="46"/>
      <c r="E103" s="46"/>
      <c r="F103" s="34"/>
      <c r="G103" s="34"/>
      <c r="H103" s="34"/>
    </row>
    <row r="104" spans="1:8" x14ac:dyDescent="0.25">
      <c r="A104" s="18">
        <v>98</v>
      </c>
      <c r="B104" s="18"/>
      <c r="C104" s="46"/>
      <c r="D104" s="46"/>
      <c r="E104" s="46"/>
      <c r="F104" s="34"/>
      <c r="G104" s="34"/>
      <c r="H104" s="34"/>
    </row>
    <row r="105" spans="1:8" x14ac:dyDescent="0.25">
      <c r="A105" s="18">
        <v>99</v>
      </c>
      <c r="B105" s="18"/>
      <c r="C105" s="46"/>
      <c r="D105" s="46"/>
      <c r="E105" s="46"/>
      <c r="F105" s="34"/>
      <c r="G105" s="34"/>
      <c r="H105" s="34"/>
    </row>
    <row r="106" spans="1:8" x14ac:dyDescent="0.25">
      <c r="A106" s="18">
        <v>100</v>
      </c>
      <c r="B106" s="18"/>
      <c r="C106" s="46"/>
      <c r="D106" s="46"/>
      <c r="E106" s="46"/>
      <c r="F106" s="34"/>
      <c r="G106" s="34"/>
      <c r="H106" s="34"/>
    </row>
    <row r="107" spans="1:8" x14ac:dyDescent="0.25">
      <c r="A107" s="18">
        <v>101</v>
      </c>
      <c r="B107" s="18"/>
      <c r="C107" s="46"/>
      <c r="D107" s="46"/>
      <c r="E107" s="46"/>
      <c r="F107" s="34"/>
      <c r="G107" s="34"/>
      <c r="H107" s="34"/>
    </row>
    <row r="108" spans="1:8" x14ac:dyDescent="0.25">
      <c r="A108" s="18">
        <v>102</v>
      </c>
      <c r="B108" s="18"/>
      <c r="C108" s="46"/>
      <c r="D108" s="46"/>
      <c r="E108" s="46"/>
      <c r="F108" s="34"/>
      <c r="G108" s="34"/>
      <c r="H108" s="34"/>
    </row>
    <row r="109" spans="1:8" x14ac:dyDescent="0.25">
      <c r="A109" s="18">
        <v>103</v>
      </c>
      <c r="B109" s="18"/>
      <c r="C109" s="46"/>
      <c r="D109" s="46"/>
      <c r="E109" s="46"/>
      <c r="F109" s="34"/>
      <c r="G109" s="34"/>
      <c r="H109" s="34"/>
    </row>
    <row r="110" spans="1:8" x14ac:dyDescent="0.25">
      <c r="A110" s="18">
        <v>104</v>
      </c>
      <c r="B110" s="18"/>
      <c r="C110" s="46"/>
      <c r="D110" s="46"/>
      <c r="E110" s="46"/>
      <c r="F110" s="34"/>
      <c r="G110" s="34"/>
      <c r="H110" s="34"/>
    </row>
    <row r="111" spans="1:8" x14ac:dyDescent="0.25">
      <c r="A111" s="18">
        <v>105</v>
      </c>
      <c r="B111" s="18"/>
      <c r="C111" s="46"/>
      <c r="D111" s="46"/>
      <c r="E111" s="46"/>
      <c r="F111" s="34"/>
      <c r="G111" s="34"/>
      <c r="H111" s="34"/>
    </row>
    <row r="112" spans="1:8" x14ac:dyDescent="0.25">
      <c r="A112" s="18">
        <v>106</v>
      </c>
      <c r="B112" s="18"/>
      <c r="C112" s="46"/>
      <c r="D112" s="46"/>
      <c r="E112" s="46"/>
      <c r="F112" s="34"/>
      <c r="G112" s="34"/>
      <c r="H112" s="34"/>
    </row>
    <row r="113" spans="1:8" x14ac:dyDescent="0.25">
      <c r="A113" s="18">
        <v>107</v>
      </c>
      <c r="B113" s="18"/>
      <c r="C113" s="46"/>
      <c r="D113" s="46"/>
      <c r="E113" s="46"/>
      <c r="F113" s="34"/>
      <c r="G113" s="34"/>
      <c r="H113" s="34"/>
    </row>
    <row r="114" spans="1:8" x14ac:dyDescent="0.25">
      <c r="A114" s="18">
        <v>108</v>
      </c>
      <c r="B114" s="18"/>
      <c r="C114" s="46"/>
      <c r="D114" s="46"/>
      <c r="E114" s="46"/>
      <c r="F114" s="34"/>
      <c r="G114" s="34"/>
      <c r="H114" s="34"/>
    </row>
    <row r="115" spans="1:8" x14ac:dyDescent="0.25">
      <c r="A115" s="18">
        <v>109</v>
      </c>
      <c r="B115" s="18"/>
      <c r="C115" s="46"/>
      <c r="D115" s="46"/>
      <c r="E115" s="46"/>
      <c r="F115" s="34"/>
      <c r="G115" s="34"/>
      <c r="H115" s="34"/>
    </row>
    <row r="116" spans="1:8" x14ac:dyDescent="0.25">
      <c r="A116" s="18">
        <v>110</v>
      </c>
      <c r="B116" s="18"/>
      <c r="C116" s="46"/>
      <c r="D116" s="46"/>
      <c r="E116" s="46"/>
      <c r="F116" s="34"/>
      <c r="G116" s="34"/>
      <c r="H116" s="34"/>
    </row>
    <row r="117" spans="1:8" x14ac:dyDescent="0.25">
      <c r="A117" s="18">
        <v>111</v>
      </c>
      <c r="B117" s="18"/>
      <c r="C117" s="46"/>
      <c r="D117" s="46"/>
      <c r="E117" s="46"/>
      <c r="F117" s="34"/>
      <c r="G117" s="34"/>
      <c r="H117" s="34"/>
    </row>
    <row r="118" spans="1:8" x14ac:dyDescent="0.25">
      <c r="A118" s="18">
        <v>112</v>
      </c>
      <c r="B118" s="18"/>
      <c r="C118" s="46"/>
      <c r="D118" s="46"/>
      <c r="E118" s="46"/>
      <c r="F118" s="34"/>
      <c r="G118" s="34"/>
      <c r="H118" s="34"/>
    </row>
    <row r="119" spans="1:8" x14ac:dyDescent="0.25">
      <c r="A119" s="18">
        <v>113</v>
      </c>
      <c r="B119" s="18"/>
      <c r="C119" s="46"/>
      <c r="D119" s="46"/>
      <c r="E119" s="46"/>
      <c r="F119" s="34"/>
      <c r="G119" s="34"/>
      <c r="H119" s="34"/>
    </row>
    <row r="120" spans="1:8" x14ac:dyDescent="0.25">
      <c r="A120" s="18">
        <v>114</v>
      </c>
      <c r="B120" s="18"/>
      <c r="C120" s="46"/>
      <c r="D120" s="46"/>
      <c r="E120" s="46"/>
      <c r="F120" s="34"/>
      <c r="G120" s="34"/>
      <c r="H120" s="34"/>
    </row>
    <row r="121" spans="1:8" x14ac:dyDescent="0.25">
      <c r="A121" s="18">
        <v>115</v>
      </c>
      <c r="B121" s="18"/>
      <c r="C121" s="46"/>
      <c r="D121" s="46"/>
      <c r="E121" s="46"/>
      <c r="F121" s="34"/>
      <c r="G121" s="34"/>
      <c r="H121" s="34"/>
    </row>
    <row r="122" spans="1:8" x14ac:dyDescent="0.25">
      <c r="A122" s="18">
        <v>116</v>
      </c>
      <c r="B122" s="18"/>
      <c r="C122" s="46"/>
      <c r="D122" s="46"/>
      <c r="E122" s="46"/>
      <c r="F122" s="34"/>
      <c r="G122" s="34"/>
      <c r="H122" s="34"/>
    </row>
    <row r="123" spans="1:8" x14ac:dyDescent="0.25">
      <c r="A123" s="18">
        <v>117</v>
      </c>
      <c r="B123" s="18"/>
      <c r="C123" s="46"/>
      <c r="D123" s="46"/>
      <c r="E123" s="46"/>
      <c r="F123" s="34"/>
      <c r="G123" s="34"/>
      <c r="H123" s="34"/>
    </row>
    <row r="124" spans="1:8" x14ac:dyDescent="0.25">
      <c r="A124" s="18">
        <v>118</v>
      </c>
      <c r="B124" s="18"/>
      <c r="C124" s="46"/>
      <c r="D124" s="46"/>
      <c r="E124" s="46"/>
      <c r="F124" s="34"/>
      <c r="G124" s="34"/>
      <c r="H124" s="34"/>
    </row>
    <row r="125" spans="1:8" x14ac:dyDescent="0.25">
      <c r="A125" s="18">
        <v>119</v>
      </c>
      <c r="B125" s="18"/>
      <c r="C125" s="46"/>
      <c r="D125" s="46"/>
      <c r="E125" s="46"/>
      <c r="F125" s="34"/>
      <c r="G125" s="34"/>
      <c r="H125" s="34"/>
    </row>
    <row r="126" spans="1:8" x14ac:dyDescent="0.25">
      <c r="A126" s="18">
        <v>120</v>
      </c>
      <c r="B126" s="18"/>
      <c r="C126" s="46"/>
      <c r="D126" s="46"/>
      <c r="E126" s="46"/>
      <c r="F126" s="34"/>
      <c r="G126" s="34"/>
      <c r="H126" s="34"/>
    </row>
    <row r="127" spans="1:8" x14ac:dyDescent="0.25">
      <c r="A127" s="18">
        <v>121</v>
      </c>
      <c r="B127" s="18"/>
      <c r="C127" s="46"/>
      <c r="D127" s="46"/>
      <c r="E127" s="46"/>
      <c r="F127" s="34"/>
      <c r="G127" s="34"/>
      <c r="H127" s="34"/>
    </row>
    <row r="128" spans="1:8" x14ac:dyDescent="0.25">
      <c r="A128" s="18">
        <v>122</v>
      </c>
      <c r="B128" s="18"/>
      <c r="C128" s="46"/>
      <c r="D128" s="46"/>
      <c r="E128" s="46"/>
      <c r="F128" s="34"/>
      <c r="G128" s="34"/>
      <c r="H128" s="34"/>
    </row>
    <row r="129" spans="1:8" x14ac:dyDescent="0.25">
      <c r="A129" s="18">
        <v>123</v>
      </c>
      <c r="B129" s="18"/>
      <c r="C129" s="46"/>
      <c r="D129" s="46"/>
      <c r="E129" s="46"/>
      <c r="F129" s="34"/>
      <c r="G129" s="34"/>
      <c r="H129" s="34"/>
    </row>
    <row r="130" spans="1:8" x14ac:dyDescent="0.25">
      <c r="A130" s="18">
        <v>124</v>
      </c>
      <c r="B130" s="18"/>
      <c r="C130" s="46"/>
      <c r="D130" s="46"/>
      <c r="E130" s="46"/>
      <c r="F130" s="34"/>
      <c r="G130" s="34"/>
      <c r="H130" s="34"/>
    </row>
    <row r="131" spans="1:8" x14ac:dyDescent="0.25">
      <c r="A131" s="18">
        <v>125</v>
      </c>
      <c r="B131" s="18"/>
      <c r="C131" s="46"/>
      <c r="D131" s="46"/>
      <c r="E131" s="46"/>
      <c r="F131" s="34"/>
      <c r="G131" s="34"/>
      <c r="H131" s="34"/>
    </row>
    <row r="132" spans="1:8" x14ac:dyDescent="0.25">
      <c r="A132" s="18">
        <v>126</v>
      </c>
      <c r="B132" s="18"/>
      <c r="C132" s="46"/>
      <c r="D132" s="46"/>
      <c r="E132" s="46"/>
      <c r="F132" s="34"/>
      <c r="G132" s="34"/>
      <c r="H132" s="34"/>
    </row>
    <row r="133" spans="1:8" x14ac:dyDescent="0.25">
      <c r="A133" s="18">
        <v>127</v>
      </c>
      <c r="B133" s="18"/>
      <c r="C133" s="46"/>
      <c r="D133" s="46"/>
      <c r="E133" s="46"/>
      <c r="F133" s="34"/>
      <c r="G133" s="34"/>
      <c r="H133" s="34"/>
    </row>
    <row r="134" spans="1:8" x14ac:dyDescent="0.25">
      <c r="A134" s="18">
        <v>128</v>
      </c>
      <c r="B134" s="18"/>
      <c r="C134" s="46"/>
      <c r="D134" s="46"/>
      <c r="E134" s="46"/>
      <c r="F134" s="34"/>
      <c r="G134" s="34"/>
      <c r="H134" s="34"/>
    </row>
    <row r="135" spans="1:8" x14ac:dyDescent="0.25">
      <c r="A135" s="18">
        <v>129</v>
      </c>
      <c r="B135" s="18"/>
      <c r="C135" s="46"/>
      <c r="D135" s="46"/>
      <c r="E135" s="46"/>
      <c r="F135" s="34"/>
      <c r="G135" s="34"/>
      <c r="H135" s="34"/>
    </row>
    <row r="136" spans="1:8" x14ac:dyDescent="0.25">
      <c r="A136" s="18">
        <v>130</v>
      </c>
      <c r="B136" s="18"/>
      <c r="C136" s="46"/>
      <c r="D136" s="46"/>
      <c r="E136" s="46"/>
      <c r="F136" s="34"/>
      <c r="G136" s="34"/>
      <c r="H136" s="34"/>
    </row>
    <row r="137" spans="1:8" x14ac:dyDescent="0.25">
      <c r="A137" s="18">
        <v>131</v>
      </c>
      <c r="B137" s="18"/>
      <c r="C137" s="46"/>
      <c r="D137" s="46"/>
      <c r="E137" s="46"/>
      <c r="F137" s="34"/>
      <c r="G137" s="34"/>
      <c r="H137" s="34"/>
    </row>
    <row r="138" spans="1:8" x14ac:dyDescent="0.25">
      <c r="A138" s="18">
        <v>132</v>
      </c>
      <c r="B138" s="18"/>
      <c r="C138" s="46"/>
      <c r="D138" s="46"/>
      <c r="E138" s="46"/>
      <c r="F138" s="34"/>
      <c r="G138" s="34"/>
      <c r="H138" s="34"/>
    </row>
    <row r="139" spans="1:8" x14ac:dyDescent="0.25">
      <c r="A139" s="18">
        <v>133</v>
      </c>
      <c r="B139" s="18"/>
      <c r="C139" s="46"/>
      <c r="D139" s="46"/>
      <c r="E139" s="46"/>
      <c r="F139" s="34"/>
      <c r="G139" s="34"/>
      <c r="H139" s="34"/>
    </row>
    <row r="140" spans="1:8" x14ac:dyDescent="0.25">
      <c r="A140" s="18">
        <v>134</v>
      </c>
      <c r="B140" s="18"/>
      <c r="C140" s="46"/>
      <c r="D140" s="46"/>
      <c r="E140" s="46"/>
      <c r="F140" s="34"/>
      <c r="G140" s="34"/>
      <c r="H140" s="34"/>
    </row>
    <row r="141" spans="1:8" x14ac:dyDescent="0.25">
      <c r="A141" s="18">
        <v>135</v>
      </c>
      <c r="B141" s="18"/>
      <c r="C141" s="46"/>
      <c r="D141" s="46"/>
      <c r="E141" s="46"/>
      <c r="F141" s="34"/>
      <c r="G141" s="34"/>
      <c r="H141" s="34"/>
    </row>
    <row r="142" spans="1:8" x14ac:dyDescent="0.25">
      <c r="A142" s="18">
        <v>136</v>
      </c>
      <c r="B142" s="18"/>
      <c r="C142" s="46"/>
      <c r="D142" s="46"/>
      <c r="E142" s="46"/>
      <c r="F142" s="34"/>
      <c r="G142" s="34"/>
      <c r="H142" s="34"/>
    </row>
    <row r="143" spans="1:8" x14ac:dyDescent="0.25">
      <c r="A143" s="18">
        <v>137</v>
      </c>
      <c r="B143" s="18"/>
      <c r="C143" s="46"/>
      <c r="D143" s="46"/>
      <c r="E143" s="46"/>
      <c r="F143" s="34"/>
      <c r="G143" s="34"/>
      <c r="H143" s="34"/>
    </row>
    <row r="144" spans="1:8" x14ac:dyDescent="0.25">
      <c r="A144" s="18">
        <v>138</v>
      </c>
      <c r="B144" s="18"/>
      <c r="C144" s="46"/>
      <c r="D144" s="46"/>
      <c r="E144" s="46"/>
      <c r="F144" s="34"/>
      <c r="G144" s="34"/>
      <c r="H144" s="34"/>
    </row>
    <row r="145" spans="1:8" x14ac:dyDescent="0.25">
      <c r="A145" s="18">
        <v>139</v>
      </c>
      <c r="B145" s="18"/>
      <c r="C145" s="46"/>
      <c r="D145" s="46"/>
      <c r="E145" s="46"/>
      <c r="F145" s="34"/>
      <c r="G145" s="34"/>
      <c r="H145" s="34"/>
    </row>
    <row r="146" spans="1:8" x14ac:dyDescent="0.25">
      <c r="A146" s="18">
        <v>140</v>
      </c>
      <c r="B146" s="18"/>
      <c r="C146" s="46"/>
      <c r="D146" s="46"/>
      <c r="E146" s="46"/>
      <c r="F146" s="34"/>
      <c r="G146" s="34"/>
      <c r="H146" s="34"/>
    </row>
    <row r="147" spans="1:8" x14ac:dyDescent="0.25">
      <c r="A147" s="18">
        <v>141</v>
      </c>
      <c r="B147" s="18"/>
      <c r="C147" s="46"/>
      <c r="D147" s="46"/>
      <c r="E147" s="46"/>
      <c r="F147" s="34"/>
      <c r="G147" s="34"/>
      <c r="H147" s="34"/>
    </row>
    <row r="148" spans="1:8" x14ac:dyDescent="0.25">
      <c r="A148" s="18">
        <v>142</v>
      </c>
      <c r="B148" s="18"/>
      <c r="C148" s="46"/>
      <c r="D148" s="46"/>
      <c r="E148" s="46"/>
      <c r="F148" s="34"/>
      <c r="G148" s="34"/>
      <c r="H148" s="34"/>
    </row>
    <row r="149" spans="1:8" x14ac:dyDescent="0.25">
      <c r="A149" s="18">
        <v>143</v>
      </c>
      <c r="B149" s="18"/>
      <c r="C149" s="46"/>
      <c r="D149" s="46"/>
      <c r="E149" s="46"/>
      <c r="F149" s="34"/>
      <c r="G149" s="34"/>
      <c r="H149" s="34"/>
    </row>
    <row r="150" spans="1:8" x14ac:dyDescent="0.25">
      <c r="A150" s="18">
        <v>144</v>
      </c>
      <c r="B150" s="18"/>
      <c r="C150" s="46"/>
      <c r="D150" s="46"/>
      <c r="E150" s="46"/>
      <c r="F150" s="34"/>
      <c r="G150" s="34"/>
      <c r="H150" s="34"/>
    </row>
    <row r="151" spans="1:8" x14ac:dyDescent="0.25">
      <c r="A151" s="18">
        <v>145</v>
      </c>
      <c r="B151" s="18"/>
      <c r="C151" s="46"/>
      <c r="D151" s="46"/>
      <c r="E151" s="46"/>
      <c r="F151" s="34"/>
      <c r="G151" s="34"/>
      <c r="H151" s="34"/>
    </row>
    <row r="152" spans="1:8" x14ac:dyDescent="0.25">
      <c r="A152" s="18">
        <v>146</v>
      </c>
      <c r="B152" s="18"/>
      <c r="C152" s="46"/>
      <c r="D152" s="46"/>
      <c r="E152" s="46"/>
      <c r="F152" s="34"/>
      <c r="G152" s="34"/>
      <c r="H152" s="34"/>
    </row>
    <row r="153" spans="1:8" x14ac:dyDescent="0.25">
      <c r="A153" s="18">
        <v>147</v>
      </c>
      <c r="B153" s="18"/>
      <c r="C153" s="46"/>
      <c r="D153" s="46"/>
      <c r="E153" s="46"/>
      <c r="F153" s="34"/>
      <c r="G153" s="34"/>
      <c r="H153" s="34"/>
    </row>
    <row r="154" spans="1:8" x14ac:dyDescent="0.25">
      <c r="A154" s="18">
        <v>148</v>
      </c>
      <c r="B154" s="18"/>
      <c r="C154" s="46"/>
      <c r="D154" s="46"/>
      <c r="E154" s="46"/>
      <c r="F154" s="34"/>
      <c r="G154" s="34"/>
      <c r="H154" s="34"/>
    </row>
    <row r="155" spans="1:8" x14ac:dyDescent="0.25">
      <c r="A155" s="18">
        <v>149</v>
      </c>
      <c r="B155" s="18"/>
      <c r="C155" s="46"/>
      <c r="D155" s="46"/>
      <c r="E155" s="46"/>
      <c r="F155" s="34"/>
      <c r="G155" s="34"/>
      <c r="H155" s="34"/>
    </row>
    <row r="156" spans="1:8" x14ac:dyDescent="0.25">
      <c r="A156" s="18">
        <v>150</v>
      </c>
      <c r="B156" s="18"/>
      <c r="C156" s="46"/>
      <c r="D156" s="46"/>
      <c r="E156" s="46"/>
      <c r="F156" s="34"/>
      <c r="G156" s="34"/>
      <c r="H156" s="34"/>
    </row>
    <row r="157" spans="1:8" x14ac:dyDescent="0.25">
      <c r="A157" s="18">
        <v>151</v>
      </c>
      <c r="B157" s="18"/>
      <c r="C157" s="46"/>
      <c r="D157" s="46"/>
      <c r="E157" s="46"/>
      <c r="F157" s="34"/>
      <c r="G157" s="34"/>
      <c r="H157" s="34"/>
    </row>
    <row r="158" spans="1:8" x14ac:dyDescent="0.25">
      <c r="A158" s="18">
        <v>152</v>
      </c>
      <c r="B158" s="18"/>
      <c r="C158" s="46"/>
      <c r="D158" s="46"/>
      <c r="E158" s="46"/>
      <c r="F158" s="34"/>
      <c r="G158" s="34"/>
      <c r="H158" s="34"/>
    </row>
    <row r="159" spans="1:8" x14ac:dyDescent="0.25">
      <c r="A159" s="18">
        <v>153</v>
      </c>
      <c r="B159" s="18"/>
      <c r="C159" s="46"/>
      <c r="D159" s="46"/>
      <c r="E159" s="46"/>
      <c r="F159" s="34"/>
      <c r="G159" s="34"/>
      <c r="H159" s="34"/>
    </row>
    <row r="160" spans="1:8" x14ac:dyDescent="0.25">
      <c r="A160" s="18">
        <v>154</v>
      </c>
      <c r="B160" s="18"/>
      <c r="C160" s="46"/>
      <c r="D160" s="46"/>
      <c r="E160" s="46"/>
      <c r="F160" s="34"/>
      <c r="G160" s="34"/>
      <c r="H160" s="34"/>
    </row>
    <row r="161" spans="1:8" x14ac:dyDescent="0.25">
      <c r="A161" s="18">
        <v>155</v>
      </c>
      <c r="B161" s="18"/>
      <c r="C161" s="46"/>
      <c r="D161" s="46"/>
      <c r="E161" s="46"/>
      <c r="F161" s="34"/>
      <c r="G161" s="34"/>
      <c r="H161" s="34"/>
    </row>
    <row r="162" spans="1:8" x14ac:dyDescent="0.25">
      <c r="A162" s="18">
        <v>156</v>
      </c>
      <c r="B162" s="18"/>
      <c r="C162" s="46"/>
      <c r="D162" s="46"/>
      <c r="E162" s="46"/>
      <c r="F162" s="34"/>
      <c r="G162" s="34"/>
      <c r="H162" s="34"/>
    </row>
    <row r="163" spans="1:8" x14ac:dyDescent="0.25">
      <c r="A163" s="18">
        <v>157</v>
      </c>
      <c r="B163" s="18"/>
      <c r="C163" s="46"/>
      <c r="D163" s="46"/>
      <c r="E163" s="46"/>
      <c r="F163" s="34"/>
      <c r="G163" s="34"/>
      <c r="H163" s="34"/>
    </row>
    <row r="164" spans="1:8" x14ac:dyDescent="0.25">
      <c r="A164" s="18">
        <v>158</v>
      </c>
      <c r="B164" s="18"/>
      <c r="C164" s="46"/>
      <c r="D164" s="46"/>
      <c r="E164" s="46"/>
      <c r="F164" s="34"/>
      <c r="G164" s="34"/>
      <c r="H164" s="34"/>
    </row>
    <row r="165" spans="1:8" x14ac:dyDescent="0.25">
      <c r="A165" s="18">
        <v>159</v>
      </c>
      <c r="B165" s="18"/>
      <c r="C165" s="46"/>
      <c r="D165" s="46"/>
      <c r="E165" s="46"/>
      <c r="F165" s="34"/>
      <c r="G165" s="34"/>
      <c r="H165" s="34"/>
    </row>
    <row r="166" spans="1:8" x14ac:dyDescent="0.25">
      <c r="A166" s="18">
        <v>160</v>
      </c>
      <c r="B166" s="18"/>
      <c r="C166" s="46"/>
      <c r="D166" s="46"/>
      <c r="E166" s="46"/>
      <c r="F166" s="34"/>
      <c r="G166" s="34"/>
      <c r="H166" s="34"/>
    </row>
    <row r="167" spans="1:8" x14ac:dyDescent="0.25">
      <c r="A167" s="18">
        <v>161</v>
      </c>
      <c r="B167" s="18"/>
      <c r="C167" s="46"/>
      <c r="D167" s="46"/>
      <c r="E167" s="46"/>
      <c r="F167" s="34"/>
      <c r="G167" s="34"/>
      <c r="H167" s="34"/>
    </row>
    <row r="168" spans="1:8" x14ac:dyDescent="0.25">
      <c r="A168" s="18">
        <v>162</v>
      </c>
      <c r="B168" s="18"/>
      <c r="C168" s="46"/>
      <c r="D168" s="46"/>
      <c r="E168" s="46"/>
      <c r="F168" s="34"/>
      <c r="G168" s="34"/>
      <c r="H168" s="34"/>
    </row>
    <row r="169" spans="1:8" x14ac:dyDescent="0.25">
      <c r="A169" s="18">
        <v>163</v>
      </c>
      <c r="B169" s="18"/>
      <c r="C169" s="46"/>
      <c r="D169" s="46"/>
      <c r="E169" s="46"/>
      <c r="F169" s="34"/>
      <c r="G169" s="34"/>
      <c r="H169" s="34"/>
    </row>
    <row r="170" spans="1:8" x14ac:dyDescent="0.25">
      <c r="A170" s="18">
        <v>164</v>
      </c>
      <c r="B170" s="18"/>
      <c r="C170" s="46"/>
      <c r="D170" s="46"/>
      <c r="E170" s="46"/>
      <c r="F170" s="34"/>
      <c r="G170" s="34"/>
      <c r="H170" s="34"/>
    </row>
    <row r="171" spans="1:8" x14ac:dyDescent="0.25">
      <c r="A171" s="18">
        <v>165</v>
      </c>
      <c r="B171" s="18"/>
      <c r="C171" s="46"/>
      <c r="D171" s="46"/>
      <c r="E171" s="46"/>
      <c r="F171" s="34"/>
      <c r="G171" s="34"/>
      <c r="H171" s="34"/>
    </row>
    <row r="172" spans="1:8" x14ac:dyDescent="0.25">
      <c r="A172" s="18">
        <v>166</v>
      </c>
      <c r="B172" s="18"/>
      <c r="C172" s="46"/>
      <c r="D172" s="46"/>
      <c r="E172" s="46"/>
      <c r="F172" s="34"/>
      <c r="G172" s="34"/>
      <c r="H172" s="34"/>
    </row>
    <row r="173" spans="1:8" x14ac:dyDescent="0.25">
      <c r="A173" s="18">
        <v>167</v>
      </c>
      <c r="B173" s="18"/>
      <c r="C173" s="46"/>
      <c r="D173" s="46"/>
      <c r="E173" s="46"/>
      <c r="F173" s="34"/>
      <c r="G173" s="34"/>
      <c r="H173" s="34"/>
    </row>
    <row r="174" spans="1:8" x14ac:dyDescent="0.25">
      <c r="A174" s="18">
        <v>168</v>
      </c>
      <c r="B174" s="18"/>
      <c r="C174" s="46"/>
      <c r="D174" s="46"/>
      <c r="E174" s="46"/>
      <c r="F174" s="34"/>
      <c r="G174" s="34"/>
      <c r="H174" s="34"/>
    </row>
    <row r="175" spans="1:8" x14ac:dyDescent="0.25">
      <c r="A175" s="18">
        <v>169</v>
      </c>
      <c r="B175" s="18"/>
      <c r="C175" s="46"/>
      <c r="D175" s="46"/>
      <c r="E175" s="46"/>
      <c r="F175" s="34"/>
      <c r="G175" s="34"/>
      <c r="H175" s="34"/>
    </row>
    <row r="176" spans="1:8" x14ac:dyDescent="0.25">
      <c r="A176" s="18">
        <v>170</v>
      </c>
      <c r="B176" s="18"/>
      <c r="C176" s="46"/>
      <c r="D176" s="46"/>
      <c r="E176" s="46"/>
      <c r="F176" s="34"/>
      <c r="G176" s="34"/>
      <c r="H176" s="34"/>
    </row>
    <row r="177" spans="1:8" x14ac:dyDescent="0.25">
      <c r="A177" s="18">
        <v>171</v>
      </c>
      <c r="B177" s="18"/>
      <c r="C177" s="46"/>
      <c r="D177" s="46"/>
      <c r="E177" s="46"/>
      <c r="F177" s="34"/>
      <c r="G177" s="34"/>
      <c r="H177" s="34"/>
    </row>
    <row r="178" spans="1:8" x14ac:dyDescent="0.25">
      <c r="A178" s="18">
        <v>172</v>
      </c>
      <c r="B178" s="18"/>
      <c r="C178" s="46"/>
      <c r="D178" s="46"/>
      <c r="E178" s="46"/>
      <c r="F178" s="34"/>
      <c r="G178" s="34"/>
      <c r="H178" s="34"/>
    </row>
    <row r="179" spans="1:8" x14ac:dyDescent="0.25">
      <c r="A179" s="18">
        <v>173</v>
      </c>
      <c r="B179" s="18"/>
      <c r="C179" s="46"/>
      <c r="D179" s="46"/>
      <c r="E179" s="46"/>
      <c r="F179" s="34"/>
      <c r="G179" s="34"/>
      <c r="H179" s="34"/>
    </row>
    <row r="180" spans="1:8" x14ac:dyDescent="0.25">
      <c r="A180" s="18">
        <v>174</v>
      </c>
      <c r="B180" s="18"/>
      <c r="C180" s="46"/>
      <c r="D180" s="46"/>
      <c r="E180" s="46"/>
      <c r="F180" s="34"/>
      <c r="G180" s="34"/>
      <c r="H180" s="34"/>
    </row>
    <row r="181" spans="1:8" x14ac:dyDescent="0.25">
      <c r="A181" s="18">
        <v>175</v>
      </c>
      <c r="B181" s="18"/>
      <c r="C181" s="46"/>
      <c r="D181" s="46"/>
      <c r="E181" s="46"/>
      <c r="F181" s="34"/>
      <c r="G181" s="34"/>
      <c r="H181" s="34"/>
    </row>
    <row r="182" spans="1:8" x14ac:dyDescent="0.25">
      <c r="A182" s="18">
        <v>176</v>
      </c>
      <c r="B182" s="18"/>
      <c r="C182" s="46"/>
      <c r="D182" s="46"/>
      <c r="E182" s="46"/>
      <c r="F182" s="34"/>
      <c r="G182" s="34"/>
      <c r="H182" s="34"/>
    </row>
    <row r="183" spans="1:8" x14ac:dyDescent="0.25">
      <c r="A183" s="18">
        <v>177</v>
      </c>
      <c r="B183" s="18"/>
      <c r="C183" s="46"/>
      <c r="D183" s="46"/>
      <c r="E183" s="46"/>
      <c r="F183" s="34"/>
      <c r="G183" s="34"/>
      <c r="H183" s="34"/>
    </row>
    <row r="184" spans="1:8" x14ac:dyDescent="0.25">
      <c r="A184" s="18">
        <v>178</v>
      </c>
      <c r="B184" s="18"/>
      <c r="C184" s="46"/>
      <c r="D184" s="46"/>
      <c r="E184" s="46"/>
      <c r="F184" s="34"/>
      <c r="G184" s="34"/>
      <c r="H184" s="34"/>
    </row>
    <row r="185" spans="1:8" x14ac:dyDescent="0.25">
      <c r="A185" s="18">
        <v>179</v>
      </c>
      <c r="B185" s="18"/>
      <c r="C185" s="46"/>
      <c r="D185" s="46"/>
      <c r="E185" s="46"/>
      <c r="F185" s="34"/>
      <c r="G185" s="34"/>
      <c r="H185" s="34"/>
    </row>
    <row r="186" spans="1:8" x14ac:dyDescent="0.25">
      <c r="A186" s="18">
        <v>180</v>
      </c>
      <c r="B186" s="18"/>
      <c r="C186" s="46"/>
      <c r="D186" s="46"/>
      <c r="E186" s="46"/>
      <c r="F186" s="34"/>
      <c r="G186" s="34"/>
      <c r="H186" s="34"/>
    </row>
    <row r="187" spans="1:8" x14ac:dyDescent="0.25">
      <c r="A187" s="18">
        <v>181</v>
      </c>
      <c r="B187" s="18"/>
      <c r="C187" s="46"/>
      <c r="D187" s="46"/>
      <c r="E187" s="46"/>
      <c r="F187" s="34"/>
      <c r="G187" s="34"/>
      <c r="H187" s="34"/>
    </row>
    <row r="188" spans="1:8" x14ac:dyDescent="0.25">
      <c r="A188" s="18">
        <v>182</v>
      </c>
      <c r="B188" s="18"/>
      <c r="C188" s="46"/>
      <c r="D188" s="46"/>
      <c r="E188" s="46"/>
      <c r="F188" s="34"/>
      <c r="G188" s="34"/>
      <c r="H188" s="34"/>
    </row>
    <row r="189" spans="1:8" x14ac:dyDescent="0.25">
      <c r="A189" s="18">
        <v>183</v>
      </c>
      <c r="B189" s="18"/>
      <c r="C189" s="46"/>
      <c r="D189" s="46"/>
      <c r="E189" s="46"/>
      <c r="F189" s="34"/>
      <c r="G189" s="34"/>
      <c r="H189" s="34"/>
    </row>
    <row r="190" spans="1:8" x14ac:dyDescent="0.25">
      <c r="A190" s="18">
        <v>184</v>
      </c>
      <c r="B190" s="18"/>
      <c r="C190" s="46"/>
      <c r="D190" s="46"/>
      <c r="E190" s="46"/>
      <c r="F190" s="34"/>
      <c r="G190" s="34"/>
      <c r="H190" s="34"/>
    </row>
    <row r="191" spans="1:8" x14ac:dyDescent="0.25">
      <c r="A191" s="18">
        <v>185</v>
      </c>
      <c r="B191" s="18"/>
      <c r="C191" s="46"/>
      <c r="D191" s="46"/>
      <c r="E191" s="46"/>
      <c r="F191" s="34"/>
      <c r="G191" s="34"/>
      <c r="H191" s="34"/>
    </row>
    <row r="192" spans="1:8" x14ac:dyDescent="0.25">
      <c r="A192" s="18">
        <v>186</v>
      </c>
      <c r="B192" s="18"/>
      <c r="C192" s="46"/>
      <c r="D192" s="46"/>
      <c r="E192" s="46"/>
      <c r="F192" s="34"/>
      <c r="G192" s="34"/>
      <c r="H192" s="34"/>
    </row>
    <row r="193" spans="1:8" x14ac:dyDescent="0.25">
      <c r="A193" s="18">
        <v>187</v>
      </c>
      <c r="B193" s="18"/>
      <c r="C193" s="46"/>
      <c r="D193" s="46"/>
      <c r="E193" s="46"/>
      <c r="F193" s="34"/>
      <c r="G193" s="34"/>
      <c r="H193" s="34"/>
    </row>
    <row r="194" spans="1:8" x14ac:dyDescent="0.25">
      <c r="A194" s="18">
        <v>188</v>
      </c>
      <c r="B194" s="18"/>
      <c r="C194" s="46"/>
      <c r="D194" s="46"/>
      <c r="E194" s="46"/>
      <c r="F194" s="34"/>
      <c r="G194" s="34"/>
      <c r="H194" s="34"/>
    </row>
    <row r="195" spans="1:8" x14ac:dyDescent="0.25">
      <c r="A195" s="18">
        <v>189</v>
      </c>
      <c r="B195" s="18"/>
      <c r="C195" s="46"/>
      <c r="D195" s="46"/>
      <c r="E195" s="46"/>
      <c r="F195" s="34"/>
      <c r="G195" s="34"/>
      <c r="H195" s="34"/>
    </row>
    <row r="196" spans="1:8" x14ac:dyDescent="0.25">
      <c r="A196" s="18">
        <v>190</v>
      </c>
      <c r="B196" s="18"/>
      <c r="C196" s="46"/>
      <c r="D196" s="46"/>
      <c r="E196" s="46"/>
      <c r="F196" s="34"/>
      <c r="G196" s="34"/>
      <c r="H196" s="34"/>
    </row>
    <row r="197" spans="1:8" x14ac:dyDescent="0.25">
      <c r="A197" s="18">
        <v>191</v>
      </c>
      <c r="B197" s="18"/>
      <c r="C197" s="46"/>
      <c r="D197" s="46"/>
      <c r="E197" s="46"/>
      <c r="F197" s="34"/>
      <c r="G197" s="34"/>
      <c r="H197" s="34"/>
    </row>
    <row r="198" spans="1:8" x14ac:dyDescent="0.25">
      <c r="A198" s="18">
        <v>192</v>
      </c>
      <c r="B198" s="18"/>
      <c r="C198" s="46"/>
      <c r="D198" s="46"/>
      <c r="E198" s="46"/>
      <c r="F198" s="34"/>
      <c r="G198" s="34"/>
      <c r="H198" s="34"/>
    </row>
    <row r="199" spans="1:8" x14ac:dyDescent="0.25">
      <c r="A199" s="18">
        <v>193</v>
      </c>
      <c r="B199" s="18"/>
      <c r="C199" s="46"/>
      <c r="D199" s="46"/>
      <c r="E199" s="46"/>
      <c r="F199" s="34"/>
      <c r="G199" s="34"/>
      <c r="H199" s="34"/>
    </row>
    <row r="200" spans="1:8" x14ac:dyDescent="0.25">
      <c r="A200" s="18">
        <v>194</v>
      </c>
      <c r="B200" s="18"/>
      <c r="C200" s="46"/>
      <c r="D200" s="46"/>
      <c r="E200" s="46"/>
      <c r="F200" s="34"/>
      <c r="G200" s="34"/>
      <c r="H200" s="34"/>
    </row>
    <row r="201" spans="1:8" x14ac:dyDescent="0.25">
      <c r="A201" s="18">
        <v>195</v>
      </c>
      <c r="B201" s="18"/>
      <c r="C201" s="46"/>
      <c r="D201" s="46"/>
      <c r="E201" s="46"/>
      <c r="F201" s="34"/>
      <c r="G201" s="34"/>
      <c r="H201" s="34"/>
    </row>
    <row r="202" spans="1:8" x14ac:dyDescent="0.25">
      <c r="A202" s="18">
        <v>196</v>
      </c>
      <c r="B202" s="18"/>
      <c r="C202" s="46"/>
      <c r="D202" s="46"/>
      <c r="E202" s="46"/>
      <c r="F202" s="34"/>
      <c r="G202" s="34"/>
      <c r="H202" s="34"/>
    </row>
    <row r="203" spans="1:8" x14ac:dyDescent="0.25">
      <c r="A203" s="18">
        <v>197</v>
      </c>
      <c r="B203" s="18"/>
      <c r="C203" s="46"/>
      <c r="D203" s="46"/>
      <c r="E203" s="46"/>
      <c r="F203" s="34"/>
      <c r="G203" s="34"/>
      <c r="H203" s="34"/>
    </row>
    <row r="204" spans="1:8" x14ac:dyDescent="0.25">
      <c r="A204" s="18">
        <v>198</v>
      </c>
      <c r="B204" s="18"/>
      <c r="C204" s="46"/>
      <c r="D204" s="46"/>
      <c r="E204" s="46"/>
      <c r="F204" s="34"/>
      <c r="G204" s="34"/>
      <c r="H204" s="34"/>
    </row>
    <row r="205" spans="1:8" x14ac:dyDescent="0.25">
      <c r="A205" s="18">
        <v>199</v>
      </c>
      <c r="B205" s="18"/>
      <c r="C205" s="46"/>
      <c r="D205" s="46"/>
      <c r="E205" s="46"/>
      <c r="F205" s="34"/>
      <c r="G205" s="34"/>
      <c r="H205" s="34"/>
    </row>
    <row r="206" spans="1:8" x14ac:dyDescent="0.25">
      <c r="A206" s="18">
        <v>200</v>
      </c>
      <c r="B206" s="18"/>
      <c r="C206" s="46"/>
      <c r="D206" s="46"/>
      <c r="E206" s="46"/>
      <c r="F206" s="34"/>
      <c r="G206" s="34"/>
      <c r="H206" s="34"/>
    </row>
    <row r="207" spans="1:8" x14ac:dyDescent="0.25">
      <c r="A207" s="18">
        <v>201</v>
      </c>
      <c r="B207" s="18"/>
      <c r="C207" s="46"/>
      <c r="D207" s="46"/>
      <c r="E207" s="46"/>
      <c r="F207" s="34"/>
      <c r="G207" s="34"/>
      <c r="H207" s="34"/>
    </row>
    <row r="208" spans="1:8" x14ac:dyDescent="0.25">
      <c r="A208" s="18">
        <v>202</v>
      </c>
      <c r="B208" s="18"/>
      <c r="C208" s="46"/>
      <c r="D208" s="46"/>
      <c r="E208" s="46"/>
      <c r="F208" s="34"/>
      <c r="G208" s="34"/>
      <c r="H208" s="34"/>
    </row>
    <row r="209" spans="1:8" x14ac:dyDescent="0.25">
      <c r="A209" s="18">
        <v>203</v>
      </c>
      <c r="B209" s="18"/>
      <c r="C209" s="46"/>
      <c r="D209" s="46"/>
      <c r="E209" s="46"/>
      <c r="F209" s="34"/>
      <c r="G209" s="34"/>
      <c r="H209" s="34"/>
    </row>
    <row r="210" spans="1:8" x14ac:dyDescent="0.25">
      <c r="A210" s="18">
        <v>204</v>
      </c>
      <c r="B210" s="18"/>
      <c r="C210" s="46"/>
      <c r="D210" s="46"/>
      <c r="E210" s="46"/>
      <c r="F210" s="34"/>
      <c r="G210" s="34"/>
      <c r="H210" s="34"/>
    </row>
    <row r="211" spans="1:8" x14ac:dyDescent="0.25">
      <c r="A211" s="18">
        <v>205</v>
      </c>
      <c r="B211" s="18"/>
      <c r="C211" s="46"/>
      <c r="D211" s="46"/>
      <c r="E211" s="46"/>
      <c r="F211" s="34"/>
      <c r="G211" s="34"/>
      <c r="H211" s="34"/>
    </row>
    <row r="212" spans="1:8" x14ac:dyDescent="0.25">
      <c r="A212" s="18">
        <v>206</v>
      </c>
      <c r="B212" s="18"/>
      <c r="C212" s="46"/>
      <c r="D212" s="46"/>
      <c r="E212" s="46"/>
      <c r="F212" s="34"/>
      <c r="G212" s="34"/>
      <c r="H212" s="34"/>
    </row>
    <row r="213" spans="1:8" x14ac:dyDescent="0.25">
      <c r="A213" s="18">
        <v>207</v>
      </c>
      <c r="B213" s="18"/>
      <c r="C213" s="46"/>
      <c r="D213" s="46"/>
      <c r="E213" s="46"/>
      <c r="F213" s="34"/>
      <c r="G213" s="34"/>
      <c r="H213" s="34"/>
    </row>
    <row r="214" spans="1:8" x14ac:dyDescent="0.25">
      <c r="A214" s="18">
        <v>208</v>
      </c>
      <c r="B214" s="18"/>
      <c r="C214" s="46"/>
      <c r="D214" s="46"/>
      <c r="E214" s="46"/>
      <c r="F214" s="34"/>
      <c r="G214" s="34"/>
      <c r="H214" s="34"/>
    </row>
    <row r="215" spans="1:8" x14ac:dyDescent="0.25">
      <c r="A215" s="18">
        <v>209</v>
      </c>
      <c r="B215" s="18"/>
      <c r="C215" s="46"/>
      <c r="D215" s="46"/>
      <c r="E215" s="46"/>
      <c r="F215" s="34"/>
      <c r="G215" s="34"/>
      <c r="H215" s="34"/>
    </row>
    <row r="216" spans="1:8" x14ac:dyDescent="0.25">
      <c r="A216" s="18">
        <v>210</v>
      </c>
      <c r="B216" s="18"/>
      <c r="C216" s="46"/>
      <c r="D216" s="46"/>
      <c r="E216" s="46"/>
      <c r="F216" s="34"/>
      <c r="G216" s="34"/>
      <c r="H216" s="34"/>
    </row>
    <row r="217" spans="1:8" x14ac:dyDescent="0.25">
      <c r="A217" s="18">
        <v>211</v>
      </c>
      <c r="B217" s="18"/>
      <c r="C217" s="46"/>
      <c r="D217" s="46"/>
      <c r="E217" s="46"/>
      <c r="F217" s="34"/>
      <c r="G217" s="34"/>
      <c r="H217" s="34"/>
    </row>
    <row r="218" spans="1:8" x14ac:dyDescent="0.25">
      <c r="A218" s="18">
        <v>212</v>
      </c>
      <c r="B218" s="18"/>
      <c r="C218" s="46"/>
      <c r="D218" s="46"/>
      <c r="E218" s="46"/>
      <c r="F218" s="34"/>
      <c r="G218" s="34"/>
      <c r="H218" s="34"/>
    </row>
    <row r="219" spans="1:8" x14ac:dyDescent="0.25">
      <c r="A219" s="18">
        <v>213</v>
      </c>
      <c r="B219" s="18"/>
      <c r="C219" s="46"/>
      <c r="D219" s="46"/>
      <c r="E219" s="46"/>
      <c r="F219" s="34"/>
      <c r="G219" s="34"/>
      <c r="H219" s="34"/>
    </row>
    <row r="220" spans="1:8" x14ac:dyDescent="0.25">
      <c r="A220" s="18">
        <v>214</v>
      </c>
      <c r="B220" s="18"/>
      <c r="C220" s="46"/>
      <c r="D220" s="46"/>
      <c r="E220" s="46"/>
      <c r="F220" s="34"/>
      <c r="G220" s="34"/>
      <c r="H220" s="34"/>
    </row>
    <row r="221" spans="1:8" x14ac:dyDescent="0.25">
      <c r="A221" s="18">
        <v>215</v>
      </c>
      <c r="B221" s="18"/>
      <c r="C221" s="46"/>
      <c r="D221" s="46"/>
      <c r="E221" s="46"/>
      <c r="F221" s="34"/>
      <c r="G221" s="34"/>
      <c r="H221" s="34"/>
    </row>
    <row r="222" spans="1:8" x14ac:dyDescent="0.25">
      <c r="A222" s="18">
        <v>216</v>
      </c>
      <c r="B222" s="18"/>
      <c r="C222" s="46"/>
      <c r="D222" s="46"/>
      <c r="E222" s="46"/>
      <c r="F222" s="34"/>
      <c r="G222" s="34"/>
      <c r="H222" s="34"/>
    </row>
    <row r="223" spans="1:8" x14ac:dyDescent="0.25">
      <c r="A223" s="18">
        <v>217</v>
      </c>
      <c r="B223" s="18"/>
      <c r="C223" s="46"/>
      <c r="D223" s="46"/>
      <c r="E223" s="46"/>
      <c r="F223" s="34"/>
      <c r="G223" s="34"/>
      <c r="H223" s="34"/>
    </row>
    <row r="224" spans="1:8" x14ac:dyDescent="0.25">
      <c r="A224" s="18">
        <v>218</v>
      </c>
      <c r="B224" s="18"/>
      <c r="C224" s="46"/>
      <c r="D224" s="46"/>
      <c r="E224" s="46"/>
      <c r="F224" s="34"/>
      <c r="G224" s="34"/>
      <c r="H224" s="34"/>
    </row>
    <row r="225" spans="1:8" x14ac:dyDescent="0.25">
      <c r="A225" s="18">
        <v>219</v>
      </c>
      <c r="B225" s="18"/>
      <c r="C225" s="46"/>
      <c r="D225" s="46"/>
      <c r="E225" s="46"/>
      <c r="F225" s="34"/>
      <c r="G225" s="34"/>
      <c r="H225" s="34"/>
    </row>
    <row r="226" spans="1:8" x14ac:dyDescent="0.25">
      <c r="A226" s="18">
        <v>220</v>
      </c>
      <c r="B226" s="18"/>
      <c r="C226" s="46"/>
      <c r="D226" s="46"/>
      <c r="E226" s="46"/>
      <c r="F226" s="34"/>
      <c r="G226" s="34"/>
      <c r="H226" s="34"/>
    </row>
    <row r="227" spans="1:8" x14ac:dyDescent="0.25">
      <c r="A227" s="18">
        <v>221</v>
      </c>
      <c r="B227" s="18"/>
      <c r="C227" s="46"/>
      <c r="D227" s="46"/>
      <c r="E227" s="46"/>
      <c r="F227" s="34"/>
      <c r="G227" s="34"/>
      <c r="H227" s="34"/>
    </row>
    <row r="228" spans="1:8" x14ac:dyDescent="0.25">
      <c r="A228" s="18">
        <v>222</v>
      </c>
      <c r="B228" s="18"/>
      <c r="C228" s="46"/>
      <c r="D228" s="46"/>
      <c r="E228" s="46"/>
      <c r="F228" s="34"/>
      <c r="G228" s="34"/>
      <c r="H228" s="34"/>
    </row>
    <row r="229" spans="1:8" x14ac:dyDescent="0.25">
      <c r="A229" s="18">
        <v>223</v>
      </c>
      <c r="B229" s="18"/>
      <c r="C229" s="46"/>
      <c r="D229" s="46"/>
      <c r="E229" s="46"/>
      <c r="F229" s="34"/>
      <c r="G229" s="34"/>
      <c r="H229" s="34"/>
    </row>
    <row r="230" spans="1:8" x14ac:dyDescent="0.25">
      <c r="A230" s="18">
        <v>224</v>
      </c>
      <c r="B230" s="18"/>
      <c r="C230" s="46"/>
      <c r="D230" s="46"/>
      <c r="E230" s="46"/>
      <c r="F230" s="34"/>
      <c r="G230" s="34"/>
      <c r="H230" s="34"/>
    </row>
    <row r="231" spans="1:8" x14ac:dyDescent="0.25">
      <c r="A231" s="18">
        <v>225</v>
      </c>
      <c r="B231" s="18"/>
      <c r="C231" s="46"/>
      <c r="D231" s="46"/>
      <c r="E231" s="46"/>
      <c r="F231" s="34"/>
      <c r="G231" s="34"/>
      <c r="H231" s="34"/>
    </row>
    <row r="232" spans="1:8" x14ac:dyDescent="0.25">
      <c r="A232" s="18">
        <v>226</v>
      </c>
      <c r="B232" s="18"/>
      <c r="C232" s="46"/>
      <c r="D232" s="46"/>
      <c r="E232" s="46"/>
      <c r="F232" s="34"/>
      <c r="G232" s="34"/>
      <c r="H232" s="34"/>
    </row>
    <row r="233" spans="1:8" x14ac:dyDescent="0.25">
      <c r="A233" s="18">
        <v>227</v>
      </c>
      <c r="B233" s="18"/>
      <c r="C233" s="46"/>
      <c r="D233" s="46"/>
      <c r="E233" s="46"/>
      <c r="F233" s="34"/>
      <c r="G233" s="34"/>
      <c r="H233" s="34"/>
    </row>
    <row r="234" spans="1:8" x14ac:dyDescent="0.25">
      <c r="A234" s="18">
        <v>228</v>
      </c>
      <c r="B234" s="18"/>
      <c r="C234" s="46"/>
      <c r="D234" s="46"/>
      <c r="E234" s="46"/>
      <c r="F234" s="34"/>
      <c r="G234" s="34"/>
      <c r="H234" s="34"/>
    </row>
    <row r="235" spans="1:8" x14ac:dyDescent="0.25">
      <c r="A235" s="18">
        <v>229</v>
      </c>
      <c r="B235" s="18"/>
      <c r="C235" s="46"/>
      <c r="D235" s="46"/>
      <c r="E235" s="46"/>
      <c r="F235" s="34"/>
      <c r="G235" s="34"/>
      <c r="H235" s="34"/>
    </row>
    <row r="236" spans="1:8" x14ac:dyDescent="0.25">
      <c r="A236" s="18">
        <v>230</v>
      </c>
      <c r="B236" s="18"/>
      <c r="C236" s="46"/>
      <c r="D236" s="46"/>
      <c r="E236" s="46"/>
      <c r="F236" s="34"/>
      <c r="G236" s="34"/>
      <c r="H236" s="34"/>
    </row>
    <row r="237" spans="1:8" x14ac:dyDescent="0.25">
      <c r="A237" s="18">
        <v>231</v>
      </c>
      <c r="B237" s="18"/>
      <c r="C237" s="46"/>
      <c r="D237" s="46"/>
      <c r="E237" s="46"/>
      <c r="F237" s="34"/>
      <c r="G237" s="34"/>
      <c r="H237" s="34"/>
    </row>
    <row r="238" spans="1:8" x14ac:dyDescent="0.25">
      <c r="A238" s="18">
        <v>232</v>
      </c>
      <c r="B238" s="18"/>
      <c r="C238" s="46"/>
      <c r="D238" s="46"/>
      <c r="E238" s="46"/>
      <c r="F238" s="34"/>
      <c r="G238" s="34"/>
      <c r="H238" s="34"/>
    </row>
    <row r="239" spans="1:8" x14ac:dyDescent="0.25">
      <c r="A239" s="18">
        <v>233</v>
      </c>
      <c r="B239" s="18"/>
      <c r="C239" s="46"/>
      <c r="D239" s="46"/>
      <c r="E239" s="46"/>
      <c r="F239" s="34"/>
      <c r="G239" s="34"/>
      <c r="H239" s="34"/>
    </row>
    <row r="240" spans="1:8" x14ac:dyDescent="0.25">
      <c r="A240" s="18">
        <v>234</v>
      </c>
      <c r="B240" s="18"/>
      <c r="C240" s="46"/>
      <c r="D240" s="46"/>
      <c r="E240" s="46"/>
      <c r="F240" s="34"/>
      <c r="G240" s="34"/>
      <c r="H240" s="34"/>
    </row>
    <row r="241" spans="1:8" x14ac:dyDescent="0.25">
      <c r="A241" s="18">
        <v>235</v>
      </c>
      <c r="B241" s="18"/>
      <c r="C241" s="46"/>
      <c r="D241" s="46"/>
      <c r="E241" s="46"/>
      <c r="F241" s="34"/>
      <c r="G241" s="34"/>
      <c r="H241" s="34"/>
    </row>
    <row r="242" spans="1:8" x14ac:dyDescent="0.25">
      <c r="A242" s="18">
        <v>236</v>
      </c>
      <c r="B242" s="18"/>
      <c r="C242" s="46"/>
      <c r="D242" s="46"/>
      <c r="E242" s="46"/>
      <c r="F242" s="34"/>
      <c r="G242" s="34"/>
      <c r="H242" s="34"/>
    </row>
    <row r="243" spans="1:8" x14ac:dyDescent="0.25">
      <c r="A243" s="18">
        <v>237</v>
      </c>
      <c r="B243" s="18"/>
      <c r="C243" s="46"/>
      <c r="D243" s="46"/>
      <c r="E243" s="46"/>
      <c r="F243" s="34"/>
      <c r="G243" s="34"/>
      <c r="H243" s="34"/>
    </row>
    <row r="244" spans="1:8" x14ac:dyDescent="0.25">
      <c r="A244" s="18">
        <v>238</v>
      </c>
      <c r="B244" s="18"/>
      <c r="C244" s="46"/>
      <c r="D244" s="46"/>
      <c r="E244" s="46"/>
      <c r="F244" s="34"/>
      <c r="G244" s="34"/>
      <c r="H244" s="34"/>
    </row>
    <row r="245" spans="1:8" x14ac:dyDescent="0.25">
      <c r="A245" s="18">
        <v>239</v>
      </c>
      <c r="B245" s="18"/>
      <c r="C245" s="46"/>
      <c r="D245" s="46"/>
      <c r="E245" s="46"/>
      <c r="F245" s="34"/>
      <c r="G245" s="34"/>
      <c r="H245" s="34"/>
    </row>
    <row r="246" spans="1:8" x14ac:dyDescent="0.25">
      <c r="A246" s="18">
        <v>240</v>
      </c>
      <c r="B246" s="18"/>
      <c r="C246" s="46"/>
      <c r="D246" s="46"/>
      <c r="E246" s="46"/>
      <c r="F246" s="34"/>
      <c r="G246" s="34"/>
      <c r="H246" s="34"/>
    </row>
    <row r="247" spans="1:8" x14ac:dyDescent="0.25">
      <c r="A247" s="18">
        <v>241</v>
      </c>
      <c r="B247" s="18"/>
      <c r="C247" s="46"/>
      <c r="D247" s="46"/>
      <c r="E247" s="46"/>
      <c r="F247" s="34"/>
      <c r="G247" s="34"/>
      <c r="H247" s="34"/>
    </row>
    <row r="248" spans="1:8" x14ac:dyDescent="0.25">
      <c r="A248" s="18">
        <v>242</v>
      </c>
      <c r="B248" s="18"/>
      <c r="C248" s="46"/>
      <c r="D248" s="46"/>
      <c r="E248" s="46"/>
      <c r="F248" s="34"/>
      <c r="G248" s="34"/>
      <c r="H248" s="34"/>
    </row>
    <row r="249" spans="1:8" x14ac:dyDescent="0.25">
      <c r="A249" s="18">
        <v>243</v>
      </c>
      <c r="B249" s="18"/>
      <c r="C249" s="46"/>
      <c r="D249" s="46"/>
      <c r="E249" s="46"/>
      <c r="F249" s="34"/>
      <c r="G249" s="34"/>
      <c r="H249" s="34"/>
    </row>
    <row r="250" spans="1:8" x14ac:dyDescent="0.25">
      <c r="A250" s="18">
        <v>244</v>
      </c>
      <c r="B250" s="18"/>
      <c r="C250" s="46"/>
      <c r="D250" s="46"/>
      <c r="E250" s="46"/>
      <c r="F250" s="34"/>
      <c r="G250" s="34"/>
      <c r="H250" s="34"/>
    </row>
    <row r="251" spans="1:8" x14ac:dyDescent="0.25">
      <c r="A251" s="18">
        <v>245</v>
      </c>
      <c r="B251" s="18"/>
      <c r="C251" s="46"/>
      <c r="D251" s="46"/>
      <c r="E251" s="46"/>
      <c r="F251" s="34"/>
      <c r="G251" s="34"/>
      <c r="H251" s="34"/>
    </row>
    <row r="252" spans="1:8" x14ac:dyDescent="0.25">
      <c r="A252" s="18">
        <v>246</v>
      </c>
      <c r="B252" s="18"/>
      <c r="C252" s="46"/>
      <c r="D252" s="46"/>
      <c r="E252" s="46"/>
      <c r="F252" s="34"/>
      <c r="G252" s="34"/>
      <c r="H252" s="34"/>
    </row>
    <row r="253" spans="1:8" x14ac:dyDescent="0.25">
      <c r="A253" s="18">
        <v>247</v>
      </c>
      <c r="B253" s="18"/>
      <c r="C253" s="46"/>
      <c r="D253" s="46"/>
      <c r="E253" s="46"/>
      <c r="F253" s="34"/>
      <c r="G253" s="34"/>
      <c r="H253" s="34"/>
    </row>
    <row r="254" spans="1:8" x14ac:dyDescent="0.25">
      <c r="A254" s="18">
        <v>248</v>
      </c>
      <c r="B254" s="18"/>
      <c r="C254" s="46"/>
      <c r="D254" s="46"/>
      <c r="E254" s="46"/>
      <c r="F254" s="34"/>
      <c r="G254" s="34"/>
      <c r="H254" s="34"/>
    </row>
    <row r="255" spans="1:8" x14ac:dyDescent="0.25">
      <c r="A255" s="18">
        <v>249</v>
      </c>
      <c r="B255" s="18"/>
      <c r="C255" s="46"/>
      <c r="D255" s="46"/>
      <c r="E255" s="46"/>
      <c r="F255" s="34"/>
      <c r="G255" s="34"/>
      <c r="H255" s="34"/>
    </row>
    <row r="256" spans="1:8" x14ac:dyDescent="0.25">
      <c r="A256" s="18">
        <v>250</v>
      </c>
      <c r="B256" s="18"/>
      <c r="C256" s="46"/>
      <c r="D256" s="46"/>
      <c r="E256" s="46"/>
      <c r="F256" s="34"/>
      <c r="G256" s="34"/>
      <c r="H256" s="34"/>
    </row>
    <row r="257" spans="1:8" x14ac:dyDescent="0.25">
      <c r="A257" s="18">
        <v>251</v>
      </c>
      <c r="B257" s="18"/>
      <c r="C257" s="46"/>
      <c r="D257" s="46"/>
      <c r="E257" s="46"/>
      <c r="F257" s="34"/>
      <c r="G257" s="34"/>
      <c r="H257" s="34"/>
    </row>
    <row r="258" spans="1:8" x14ac:dyDescent="0.25">
      <c r="A258" s="18">
        <v>252</v>
      </c>
      <c r="B258" s="18"/>
      <c r="C258" s="46"/>
      <c r="D258" s="46"/>
      <c r="E258" s="46"/>
      <c r="F258" s="34"/>
      <c r="G258" s="34"/>
      <c r="H258" s="34"/>
    </row>
    <row r="259" spans="1:8" x14ac:dyDescent="0.25">
      <c r="A259" s="18">
        <v>253</v>
      </c>
      <c r="B259" s="18"/>
      <c r="C259" s="46"/>
      <c r="D259" s="46"/>
      <c r="E259" s="46"/>
      <c r="F259" s="34"/>
      <c r="G259" s="34"/>
      <c r="H259" s="34"/>
    </row>
    <row r="260" spans="1:8" x14ac:dyDescent="0.25">
      <c r="A260" s="18">
        <v>254</v>
      </c>
      <c r="B260" s="18"/>
      <c r="C260" s="46"/>
      <c r="D260" s="46"/>
      <c r="E260" s="46"/>
      <c r="F260" s="34"/>
      <c r="G260" s="34"/>
      <c r="H260" s="34"/>
    </row>
    <row r="261" spans="1:8" x14ac:dyDescent="0.25">
      <c r="A261" s="18">
        <v>255</v>
      </c>
      <c r="B261" s="18"/>
      <c r="C261" s="46"/>
      <c r="D261" s="46"/>
      <c r="E261" s="46"/>
      <c r="F261" s="34"/>
      <c r="G261" s="34"/>
      <c r="H261" s="34"/>
    </row>
    <row r="262" spans="1:8" x14ac:dyDescent="0.25">
      <c r="A262" s="18">
        <v>256</v>
      </c>
      <c r="B262" s="18"/>
      <c r="C262" s="46"/>
      <c r="D262" s="46"/>
      <c r="E262" s="46"/>
      <c r="F262" s="34"/>
      <c r="G262" s="34"/>
      <c r="H262" s="34"/>
    </row>
    <row r="263" spans="1:8" x14ac:dyDescent="0.25">
      <c r="A263" s="18">
        <v>257</v>
      </c>
      <c r="B263" s="18"/>
      <c r="C263" s="46"/>
      <c r="D263" s="46"/>
      <c r="E263" s="46"/>
      <c r="F263" s="34"/>
      <c r="G263" s="34"/>
      <c r="H263" s="34"/>
    </row>
    <row r="264" spans="1:8" x14ac:dyDescent="0.25">
      <c r="A264" s="18">
        <v>258</v>
      </c>
      <c r="B264" s="18"/>
      <c r="C264" s="46"/>
      <c r="D264" s="46"/>
      <c r="E264" s="46"/>
      <c r="F264" s="34"/>
      <c r="G264" s="34"/>
      <c r="H264" s="34"/>
    </row>
    <row r="265" spans="1:8" x14ac:dyDescent="0.25">
      <c r="A265" s="18">
        <v>259</v>
      </c>
      <c r="B265" s="18"/>
      <c r="C265" s="46"/>
      <c r="D265" s="46"/>
      <c r="E265" s="46"/>
      <c r="F265" s="34"/>
      <c r="G265" s="34"/>
      <c r="H265" s="34"/>
    </row>
    <row r="266" spans="1:8" x14ac:dyDescent="0.25">
      <c r="A266" s="18">
        <v>260</v>
      </c>
      <c r="B266" s="18"/>
      <c r="C266" s="46"/>
      <c r="D266" s="46"/>
      <c r="E266" s="46"/>
      <c r="F266" s="34"/>
      <c r="G266" s="34"/>
      <c r="H266" s="34"/>
    </row>
    <row r="267" spans="1:8" x14ac:dyDescent="0.25">
      <c r="A267" s="18">
        <v>261</v>
      </c>
      <c r="B267" s="18"/>
      <c r="C267" s="46"/>
      <c r="D267" s="46"/>
      <c r="E267" s="46"/>
      <c r="F267" s="34"/>
      <c r="G267" s="34"/>
      <c r="H267" s="34"/>
    </row>
    <row r="268" spans="1:8" x14ac:dyDescent="0.25">
      <c r="A268" s="18">
        <v>262</v>
      </c>
      <c r="B268" s="18"/>
      <c r="C268" s="46"/>
      <c r="D268" s="46"/>
      <c r="E268" s="46"/>
      <c r="F268" s="34"/>
      <c r="G268" s="34"/>
      <c r="H268" s="34"/>
    </row>
    <row r="269" spans="1:8" x14ac:dyDescent="0.25">
      <c r="A269" s="18">
        <v>263</v>
      </c>
      <c r="B269" s="18"/>
      <c r="C269" s="46"/>
      <c r="D269" s="46"/>
      <c r="E269" s="46"/>
      <c r="F269" s="34"/>
      <c r="G269" s="34"/>
      <c r="H269" s="34"/>
    </row>
    <row r="270" spans="1:8" x14ac:dyDescent="0.25">
      <c r="A270" s="18">
        <v>264</v>
      </c>
      <c r="B270" s="18"/>
      <c r="C270" s="46"/>
      <c r="D270" s="46"/>
      <c r="E270" s="46"/>
      <c r="F270" s="34"/>
      <c r="G270" s="34"/>
      <c r="H270" s="34"/>
    </row>
    <row r="271" spans="1:8" x14ac:dyDescent="0.25">
      <c r="A271" s="18">
        <v>265</v>
      </c>
      <c r="B271" s="18"/>
      <c r="C271" s="46"/>
      <c r="D271" s="46"/>
      <c r="E271" s="46"/>
      <c r="F271" s="34"/>
      <c r="G271" s="34"/>
      <c r="H271" s="34"/>
    </row>
    <row r="272" spans="1:8" x14ac:dyDescent="0.25">
      <c r="A272" s="18">
        <v>266</v>
      </c>
      <c r="B272" s="18"/>
      <c r="C272" s="46"/>
      <c r="D272" s="46"/>
      <c r="E272" s="46"/>
      <c r="F272" s="34"/>
      <c r="G272" s="34"/>
      <c r="H272" s="34"/>
    </row>
    <row r="273" spans="1:8" x14ac:dyDescent="0.25">
      <c r="A273" s="18">
        <v>267</v>
      </c>
      <c r="B273" s="18"/>
      <c r="C273" s="46"/>
      <c r="D273" s="46"/>
      <c r="E273" s="46"/>
      <c r="F273" s="34"/>
      <c r="G273" s="34"/>
      <c r="H273" s="34"/>
    </row>
    <row r="274" spans="1:8" x14ac:dyDescent="0.25">
      <c r="A274" s="18">
        <v>268</v>
      </c>
      <c r="B274" s="18"/>
      <c r="C274" s="46"/>
      <c r="D274" s="46"/>
      <c r="E274" s="46"/>
      <c r="F274" s="34"/>
      <c r="G274" s="34"/>
      <c r="H274" s="34"/>
    </row>
    <row r="275" spans="1:8" x14ac:dyDescent="0.25">
      <c r="A275" s="18">
        <v>269</v>
      </c>
      <c r="B275" s="18"/>
      <c r="C275" s="46"/>
      <c r="D275" s="46"/>
      <c r="E275" s="46"/>
      <c r="F275" s="34"/>
      <c r="G275" s="34"/>
      <c r="H275" s="34"/>
    </row>
    <row r="276" spans="1:8" x14ac:dyDescent="0.25">
      <c r="A276" s="18">
        <v>270</v>
      </c>
      <c r="B276" s="18"/>
      <c r="C276" s="46"/>
      <c r="D276" s="46"/>
      <c r="E276" s="46"/>
      <c r="F276" s="34"/>
      <c r="G276" s="34"/>
      <c r="H276" s="34"/>
    </row>
    <row r="277" spans="1:8" x14ac:dyDescent="0.25">
      <c r="A277" s="18">
        <v>271</v>
      </c>
      <c r="B277" s="18"/>
      <c r="C277" s="46"/>
      <c r="D277" s="46"/>
      <c r="E277" s="46"/>
      <c r="F277" s="34"/>
      <c r="G277" s="34"/>
      <c r="H277" s="34"/>
    </row>
    <row r="278" spans="1:8" x14ac:dyDescent="0.25">
      <c r="A278" s="18">
        <v>272</v>
      </c>
      <c r="B278" s="18"/>
      <c r="C278" s="46"/>
      <c r="D278" s="46"/>
      <c r="E278" s="46"/>
      <c r="F278" s="34"/>
      <c r="G278" s="34"/>
      <c r="H278" s="34"/>
    </row>
    <row r="279" spans="1:8" x14ac:dyDescent="0.25">
      <c r="A279" s="18">
        <v>273</v>
      </c>
      <c r="B279" s="18"/>
      <c r="C279" s="46"/>
      <c r="D279" s="46"/>
      <c r="E279" s="46"/>
      <c r="F279" s="34"/>
      <c r="G279" s="34"/>
      <c r="H279" s="34"/>
    </row>
    <row r="280" spans="1:8" x14ac:dyDescent="0.25">
      <c r="A280" s="18">
        <v>274</v>
      </c>
      <c r="B280" s="18"/>
      <c r="C280" s="46"/>
      <c r="D280" s="46"/>
      <c r="E280" s="46"/>
      <c r="F280" s="34"/>
      <c r="G280" s="34"/>
      <c r="H280" s="34"/>
    </row>
    <row r="281" spans="1:8" x14ac:dyDescent="0.25">
      <c r="A281" s="18">
        <v>275</v>
      </c>
      <c r="B281" s="18"/>
      <c r="C281" s="46"/>
      <c r="D281" s="46"/>
      <c r="E281" s="46"/>
      <c r="F281" s="34"/>
      <c r="G281" s="34"/>
      <c r="H281" s="34"/>
    </row>
    <row r="282" spans="1:8" x14ac:dyDescent="0.25">
      <c r="A282" s="18">
        <v>276</v>
      </c>
      <c r="B282" s="18"/>
      <c r="C282" s="46"/>
      <c r="D282" s="46"/>
      <c r="E282" s="46"/>
      <c r="F282" s="34"/>
      <c r="G282" s="34"/>
      <c r="H282" s="34"/>
    </row>
    <row r="283" spans="1:8" x14ac:dyDescent="0.25">
      <c r="A283" s="18">
        <v>277</v>
      </c>
      <c r="B283" s="18"/>
      <c r="C283" s="46"/>
      <c r="D283" s="46"/>
      <c r="E283" s="46"/>
      <c r="F283" s="34"/>
      <c r="G283" s="34"/>
      <c r="H283" s="34"/>
    </row>
    <row r="284" spans="1:8" x14ac:dyDescent="0.25">
      <c r="A284" s="18">
        <v>278</v>
      </c>
      <c r="B284" s="18"/>
      <c r="C284" s="46"/>
      <c r="D284" s="46"/>
      <c r="E284" s="46"/>
      <c r="F284" s="34"/>
      <c r="G284" s="34"/>
      <c r="H284" s="34"/>
    </row>
    <row r="285" spans="1:8" x14ac:dyDescent="0.25">
      <c r="A285" s="18">
        <v>279</v>
      </c>
      <c r="B285" s="18"/>
      <c r="C285" s="46"/>
      <c r="D285" s="46"/>
      <c r="E285" s="46"/>
      <c r="F285" s="34"/>
      <c r="G285" s="34"/>
      <c r="H285" s="34"/>
    </row>
    <row r="286" spans="1:8" x14ac:dyDescent="0.25">
      <c r="A286" s="18">
        <v>280</v>
      </c>
      <c r="B286" s="18"/>
      <c r="C286" s="46"/>
      <c r="D286" s="46"/>
      <c r="E286" s="46"/>
      <c r="F286" s="34"/>
      <c r="G286" s="34"/>
      <c r="H286" s="34"/>
    </row>
    <row r="287" spans="1:8" x14ac:dyDescent="0.25">
      <c r="A287" s="18">
        <v>281</v>
      </c>
      <c r="B287" s="18"/>
      <c r="C287" s="46"/>
      <c r="D287" s="46"/>
      <c r="E287" s="46"/>
      <c r="F287" s="34"/>
      <c r="G287" s="34"/>
      <c r="H287" s="34"/>
    </row>
    <row r="288" spans="1:8" x14ac:dyDescent="0.25">
      <c r="A288" s="18">
        <v>282</v>
      </c>
      <c r="B288" s="18"/>
      <c r="C288" s="46"/>
      <c r="D288" s="46"/>
      <c r="E288" s="46"/>
      <c r="F288" s="34"/>
      <c r="G288" s="34"/>
      <c r="H288" s="34"/>
    </row>
    <row r="289" spans="1:8" x14ac:dyDescent="0.25">
      <c r="A289" s="18">
        <v>283</v>
      </c>
      <c r="B289" s="18"/>
      <c r="C289" s="46"/>
      <c r="D289" s="46"/>
      <c r="E289" s="46"/>
      <c r="F289" s="34"/>
      <c r="G289" s="34"/>
      <c r="H289" s="34"/>
    </row>
    <row r="290" spans="1:8" x14ac:dyDescent="0.25">
      <c r="A290" s="18">
        <v>284</v>
      </c>
      <c r="B290" s="18"/>
      <c r="C290" s="46"/>
      <c r="D290" s="46"/>
      <c r="E290" s="46"/>
      <c r="F290" s="34"/>
      <c r="G290" s="34"/>
      <c r="H290" s="34"/>
    </row>
    <row r="291" spans="1:8" x14ac:dyDescent="0.25">
      <c r="A291" s="18">
        <v>285</v>
      </c>
      <c r="B291" s="18"/>
      <c r="C291" s="46"/>
      <c r="D291" s="46"/>
      <c r="E291" s="46"/>
      <c r="F291" s="34"/>
      <c r="G291" s="34"/>
      <c r="H291" s="34"/>
    </row>
    <row r="292" spans="1:8" x14ac:dyDescent="0.25">
      <c r="A292" s="18">
        <v>286</v>
      </c>
      <c r="B292" s="18"/>
      <c r="C292" s="46"/>
      <c r="D292" s="46"/>
      <c r="E292" s="46"/>
      <c r="F292" s="34"/>
      <c r="G292" s="34"/>
      <c r="H292" s="34"/>
    </row>
    <row r="293" spans="1:8" x14ac:dyDescent="0.25">
      <c r="A293" s="18">
        <v>287</v>
      </c>
      <c r="B293" s="18"/>
      <c r="C293" s="46"/>
      <c r="D293" s="46"/>
      <c r="E293" s="46"/>
      <c r="F293" s="34"/>
      <c r="G293" s="34"/>
      <c r="H293" s="34"/>
    </row>
    <row r="294" spans="1:8" x14ac:dyDescent="0.25">
      <c r="A294" s="18">
        <v>288</v>
      </c>
      <c r="B294" s="18"/>
      <c r="C294" s="46"/>
      <c r="D294" s="46"/>
      <c r="E294" s="46"/>
      <c r="F294" s="34"/>
      <c r="G294" s="34"/>
      <c r="H294" s="34"/>
    </row>
    <row r="295" spans="1:8" x14ac:dyDescent="0.25">
      <c r="A295" s="18">
        <v>289</v>
      </c>
      <c r="B295" s="18"/>
      <c r="C295" s="46"/>
      <c r="D295" s="46"/>
      <c r="E295" s="46"/>
      <c r="F295" s="34"/>
      <c r="G295" s="34"/>
      <c r="H295" s="34"/>
    </row>
    <row r="296" spans="1:8" x14ac:dyDescent="0.25">
      <c r="A296" s="18">
        <v>290</v>
      </c>
      <c r="B296" s="18"/>
      <c r="C296" s="46"/>
      <c r="D296" s="46"/>
      <c r="E296" s="46"/>
      <c r="F296" s="34"/>
      <c r="G296" s="34"/>
      <c r="H296" s="34"/>
    </row>
    <row r="297" spans="1:8" x14ac:dyDescent="0.25">
      <c r="A297" s="18">
        <v>291</v>
      </c>
      <c r="B297" s="18"/>
      <c r="C297" s="46"/>
      <c r="D297" s="46"/>
      <c r="E297" s="46"/>
      <c r="F297" s="34"/>
      <c r="G297" s="34"/>
      <c r="H297" s="34"/>
    </row>
    <row r="298" spans="1:8" x14ac:dyDescent="0.25">
      <c r="A298" s="18">
        <v>292</v>
      </c>
      <c r="B298" s="18"/>
      <c r="C298" s="46"/>
      <c r="D298" s="46"/>
      <c r="E298" s="46"/>
      <c r="F298" s="34"/>
      <c r="G298" s="34"/>
      <c r="H298" s="34"/>
    </row>
    <row r="299" spans="1:8" x14ac:dyDescent="0.25">
      <c r="A299" s="18">
        <v>293</v>
      </c>
      <c r="B299" s="18"/>
      <c r="C299" s="46"/>
      <c r="D299" s="46"/>
      <c r="E299" s="46"/>
      <c r="F299" s="34"/>
      <c r="G299" s="34"/>
      <c r="H299" s="34"/>
    </row>
    <row r="300" spans="1:8" x14ac:dyDescent="0.25">
      <c r="A300" s="18">
        <v>294</v>
      </c>
      <c r="B300" s="18"/>
      <c r="C300" s="46"/>
      <c r="D300" s="46"/>
      <c r="E300" s="46"/>
      <c r="F300" s="34"/>
      <c r="G300" s="34"/>
      <c r="H300" s="34"/>
    </row>
    <row r="301" spans="1:8" x14ac:dyDescent="0.25">
      <c r="A301" s="18">
        <v>295</v>
      </c>
      <c r="B301" s="18"/>
      <c r="C301" s="46"/>
      <c r="D301" s="46"/>
      <c r="E301" s="46"/>
      <c r="F301" s="34"/>
      <c r="G301" s="34"/>
      <c r="H301" s="34"/>
    </row>
    <row r="302" spans="1:8" x14ac:dyDescent="0.25">
      <c r="A302" s="18">
        <v>296</v>
      </c>
      <c r="B302" s="18"/>
      <c r="C302" s="46"/>
      <c r="D302" s="46"/>
      <c r="E302" s="46"/>
      <c r="F302" s="34"/>
      <c r="G302" s="34"/>
      <c r="H302" s="34"/>
    </row>
    <row r="303" spans="1:8" x14ac:dyDescent="0.25">
      <c r="A303" s="18">
        <v>297</v>
      </c>
      <c r="B303" s="18"/>
      <c r="C303" s="46"/>
      <c r="D303" s="46"/>
      <c r="E303" s="46"/>
      <c r="F303" s="34"/>
      <c r="G303" s="34"/>
      <c r="H303" s="34"/>
    </row>
    <row r="304" spans="1:8" x14ac:dyDescent="0.25">
      <c r="A304" s="18">
        <v>298</v>
      </c>
      <c r="B304" s="18"/>
      <c r="C304" s="46"/>
      <c r="D304" s="46"/>
      <c r="E304" s="46"/>
      <c r="F304" s="34"/>
      <c r="G304" s="34"/>
      <c r="H304" s="34"/>
    </row>
    <row r="305" spans="1:8" x14ac:dyDescent="0.25">
      <c r="A305" s="18">
        <v>299</v>
      </c>
      <c r="B305" s="18"/>
      <c r="C305" s="46"/>
      <c r="D305" s="46"/>
      <c r="E305" s="46"/>
      <c r="F305" s="34"/>
      <c r="G305" s="34"/>
      <c r="H305" s="34"/>
    </row>
    <row r="306" spans="1:8" x14ac:dyDescent="0.25">
      <c r="A306" s="18">
        <v>300</v>
      </c>
      <c r="B306" s="18"/>
      <c r="C306" s="46"/>
      <c r="D306" s="46"/>
      <c r="E306" s="46"/>
      <c r="F306" s="34"/>
      <c r="G306" s="34"/>
      <c r="H306" s="34"/>
    </row>
    <row r="309" spans="1:8" ht="15" customHeight="1" x14ac:dyDescent="0.25"/>
  </sheetData>
  <sheetProtection algorithmName="SHA-512" hashValue="ag6uPIuvGQBU4/kK426byfwz57IE8hiODlHotupltG3hNRBYAazLQofb5jdpaxM0Mq/XSw/8d6YKOQmgHAQ3dQ==" saltValue="sN/AaQe0/QygzEMESmwZcw==" spinCount="100000" sheet="1" objects="1" scenarios="1"/>
  <mergeCells count="8">
    <mergeCell ref="J7:K7"/>
    <mergeCell ref="J4:K4"/>
    <mergeCell ref="A5:H5"/>
    <mergeCell ref="J2:L2"/>
    <mergeCell ref="A4:H4"/>
    <mergeCell ref="J3:K3"/>
    <mergeCell ref="J6:K6"/>
    <mergeCell ref="J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pane xSplit="2" ySplit="6" topLeftCell="C52" activePane="bottomRight" state="frozen"/>
      <selection pane="topRight"/>
      <selection pane="bottomLeft"/>
      <selection pane="bottomRight" activeCell="G14" sqref="G14"/>
    </sheetView>
  </sheetViews>
  <sheetFormatPr baseColWidth="10" defaultColWidth="9.140625" defaultRowHeight="15" x14ac:dyDescent="0.25"/>
  <cols>
    <col min="1" max="1" width="9.140625" style="10" customWidth="1"/>
    <col min="2" max="3" width="12" style="10" customWidth="1"/>
    <col min="4" max="5" width="13" style="10" customWidth="1"/>
    <col min="6" max="6" width="14" style="10" customWidth="1"/>
    <col min="7" max="8" width="16" style="41" customWidth="1"/>
    <col min="9" max="9" width="14" style="41" customWidth="1"/>
    <col min="10" max="10" width="18" style="41" customWidth="1"/>
    <col min="11" max="11" width="26" style="10" customWidth="1"/>
    <col min="12" max="16384" width="9.140625" style="10"/>
  </cols>
  <sheetData>
    <row r="1" spans="1:11" ht="15" customHeight="1" x14ac:dyDescent="0.25">
      <c r="G1" s="40" t="s">
        <v>65</v>
      </c>
    </row>
    <row r="2" spans="1:11" ht="15" customHeight="1" x14ac:dyDescent="0.25">
      <c r="G2" s="42" t="s">
        <v>66</v>
      </c>
    </row>
    <row r="3" spans="1:11" x14ac:dyDescent="0.25">
      <c r="J3" s="49" t="s">
        <v>67</v>
      </c>
      <c r="K3" s="37">
        <f>SUM(C7:C66)</f>
        <v>543</v>
      </c>
    </row>
    <row r="4" spans="1:11" s="47" customFormat="1" ht="63.75" x14ac:dyDescent="0.25">
      <c r="A4" s="44" t="s">
        <v>68</v>
      </c>
      <c r="B4" s="18" t="s">
        <v>58</v>
      </c>
      <c r="C4" s="45" t="s">
        <v>69</v>
      </c>
      <c r="D4" s="46">
        <v>100</v>
      </c>
      <c r="E4" s="45" t="s">
        <v>70</v>
      </c>
      <c r="F4" s="18" t="s">
        <v>58</v>
      </c>
      <c r="G4" s="50" t="s">
        <v>71</v>
      </c>
      <c r="H4" s="51">
        <v>100</v>
      </c>
      <c r="I4" s="52"/>
      <c r="J4" s="53" t="s">
        <v>72</v>
      </c>
      <c r="K4" s="59">
        <f>IFERROR(LOOKUP(2,1/(H7:H66&lt;&gt;""),H7:H66)-H4,"")</f>
        <v>-0.742999999999995</v>
      </c>
    </row>
    <row r="5" spans="1:11" x14ac:dyDescent="0.25">
      <c r="J5" s="54" t="s">
        <v>73</v>
      </c>
      <c r="K5" s="37">
        <f>SUM(D7:D66)</f>
        <v>3.9419999999999997</v>
      </c>
    </row>
    <row r="6" spans="1:11" ht="42" customHeight="1" x14ac:dyDescent="0.25">
      <c r="A6" s="31" t="s">
        <v>39</v>
      </c>
      <c r="B6" s="31" t="s">
        <v>20</v>
      </c>
      <c r="C6" s="31" t="s">
        <v>74</v>
      </c>
      <c r="D6" s="31" t="s">
        <v>75</v>
      </c>
      <c r="E6" s="31" t="s">
        <v>76</v>
      </c>
      <c r="F6" s="31" t="s">
        <v>77</v>
      </c>
      <c r="G6" s="55" t="s">
        <v>78</v>
      </c>
      <c r="H6" s="55" t="s">
        <v>79</v>
      </c>
      <c r="I6" s="55" t="s">
        <v>80</v>
      </c>
      <c r="J6" s="56" t="s">
        <v>81</v>
      </c>
      <c r="K6" s="37">
        <f>SUM(F7:F66)</f>
        <v>4.6850000000000005</v>
      </c>
    </row>
    <row r="7" spans="1:11" ht="25.5" x14ac:dyDescent="0.25">
      <c r="A7" s="18">
        <v>1</v>
      </c>
      <c r="B7" s="18" t="s">
        <v>58</v>
      </c>
      <c r="C7" s="46">
        <v>0</v>
      </c>
      <c r="D7" s="46">
        <v>1.5449999999999999</v>
      </c>
      <c r="E7" s="46"/>
      <c r="F7" s="46"/>
      <c r="G7" s="37">
        <f>IF(D7="","",$D$4+D7)</f>
        <v>101.545</v>
      </c>
      <c r="H7" s="37">
        <f>$D$4</f>
        <v>100</v>
      </c>
      <c r="I7" s="37">
        <f t="shared" ref="I7:I38" si="0">IFERROR(IF(C7="","",-1*$K$4*(C7/$K$3)),"")</f>
        <v>0</v>
      </c>
      <c r="J7" s="57" t="s">
        <v>82</v>
      </c>
      <c r="K7" s="37">
        <f>K5-K6</f>
        <v>-0.74300000000000077</v>
      </c>
    </row>
    <row r="8" spans="1:11" ht="25.5" x14ac:dyDescent="0.25">
      <c r="A8" s="18">
        <v>2</v>
      </c>
      <c r="B8" s="18" t="s">
        <v>52</v>
      </c>
      <c r="C8" s="46">
        <v>25</v>
      </c>
      <c r="D8" s="46"/>
      <c r="E8" s="46">
        <v>2.13</v>
      </c>
      <c r="F8" s="46"/>
      <c r="G8" s="37">
        <f t="shared" ref="G8:G39" si="1">IF(D8&lt;&gt;"",H8+D8,IF(OR(E8&lt;&gt;"",F8&lt;&gt;""),G7,""))</f>
        <v>101.545</v>
      </c>
      <c r="H8" s="37">
        <f t="shared" ref="H8:H39" si="2">IF(F8&lt;&gt;"",G7-F8,IF(E8&lt;&gt;"",G7-E8,IF(D8&lt;&gt;"",H7,"")))</f>
        <v>99.415000000000006</v>
      </c>
      <c r="I8" s="37">
        <f t="shared" si="0"/>
        <v>3.4208103130754834E-2</v>
      </c>
      <c r="J8" s="58" t="s">
        <v>83</v>
      </c>
      <c r="K8" s="18">
        <v>10</v>
      </c>
    </row>
    <row r="9" spans="1:11" ht="25.5" x14ac:dyDescent="0.25">
      <c r="A9" s="18">
        <v>3</v>
      </c>
      <c r="B9" s="18" t="s">
        <v>53</v>
      </c>
      <c r="C9" s="46">
        <v>52</v>
      </c>
      <c r="D9" s="46"/>
      <c r="E9" s="46"/>
      <c r="F9" s="46">
        <v>0.89</v>
      </c>
      <c r="G9" s="37">
        <f t="shared" si="1"/>
        <v>101.545</v>
      </c>
      <c r="H9" s="37">
        <f t="shared" si="2"/>
        <v>100.655</v>
      </c>
      <c r="I9" s="37">
        <f t="shared" si="0"/>
        <v>7.1152854511970065E-2</v>
      </c>
      <c r="J9" s="57" t="s">
        <v>84</v>
      </c>
      <c r="K9" s="59">
        <f>(K8/1000)*SQRT(K3/1000)</f>
        <v>7.368853370776216E-3</v>
      </c>
    </row>
    <row r="10" spans="1:11" ht="25.5" x14ac:dyDescent="0.25">
      <c r="A10" s="18">
        <v>4</v>
      </c>
      <c r="B10" s="18" t="s">
        <v>53</v>
      </c>
      <c r="C10" s="46">
        <v>52</v>
      </c>
      <c r="D10" s="46">
        <v>1.4119999999999999</v>
      </c>
      <c r="E10" s="46"/>
      <c r="F10" s="46"/>
      <c r="G10" s="37">
        <f t="shared" si="1"/>
        <v>102.06700000000001</v>
      </c>
      <c r="H10" s="37">
        <f t="shared" si="2"/>
        <v>100.655</v>
      </c>
      <c r="I10" s="37">
        <f t="shared" si="0"/>
        <v>7.1152854511970065E-2</v>
      </c>
      <c r="J10" s="57" t="s">
        <v>85</v>
      </c>
      <c r="K10" s="60" t="str">
        <f>IF(ABS(K4)&lt;=K9,"✓ SÍ","✗ NO")</f>
        <v>✗ NO</v>
      </c>
    </row>
    <row r="11" spans="1:11" x14ac:dyDescent="0.25">
      <c r="A11" s="18">
        <v>5</v>
      </c>
      <c r="B11" s="18" t="s">
        <v>54</v>
      </c>
      <c r="C11" s="46">
        <v>78</v>
      </c>
      <c r="D11" s="46"/>
      <c r="E11" s="46">
        <v>1.875</v>
      </c>
      <c r="F11" s="46"/>
      <c r="G11" s="37">
        <f t="shared" si="1"/>
        <v>102.06700000000001</v>
      </c>
      <c r="H11" s="37">
        <f t="shared" si="2"/>
        <v>100.19200000000001</v>
      </c>
      <c r="I11" s="37">
        <f t="shared" si="0"/>
        <v>0.10672928176795508</v>
      </c>
      <c r="J11" s="37">
        <f t="shared" ref="J11:J42" si="3">IFERROR(IF(H11="","",H11+I11),"")</f>
        <v>100.29872928176796</v>
      </c>
      <c r="K11" s="34"/>
    </row>
    <row r="12" spans="1:11" x14ac:dyDescent="0.25">
      <c r="A12" s="18">
        <v>6</v>
      </c>
      <c r="B12" s="18" t="s">
        <v>86</v>
      </c>
      <c r="C12" s="46">
        <v>103</v>
      </c>
      <c r="D12" s="46"/>
      <c r="E12" s="46"/>
      <c r="F12" s="46">
        <v>2.2450000000000001</v>
      </c>
      <c r="G12" s="37">
        <f t="shared" si="1"/>
        <v>102.06700000000001</v>
      </c>
      <c r="H12" s="37">
        <f t="shared" si="2"/>
        <v>99.822000000000003</v>
      </c>
      <c r="I12" s="37">
        <f t="shared" si="0"/>
        <v>0.14093738489870991</v>
      </c>
      <c r="J12" s="37">
        <f t="shared" si="3"/>
        <v>99.962937384898709</v>
      </c>
      <c r="K12" s="34" t="s">
        <v>87</v>
      </c>
    </row>
    <row r="13" spans="1:11" x14ac:dyDescent="0.25">
      <c r="A13" s="18">
        <v>7</v>
      </c>
      <c r="B13" s="18" t="s">
        <v>86</v>
      </c>
      <c r="C13" s="46">
        <v>103</v>
      </c>
      <c r="D13" s="46">
        <v>0.98499999999999999</v>
      </c>
      <c r="E13" s="46"/>
      <c r="F13" s="46"/>
      <c r="G13" s="37">
        <f t="shared" si="1"/>
        <v>100.807</v>
      </c>
      <c r="H13" s="37">
        <f t="shared" si="2"/>
        <v>99.822000000000003</v>
      </c>
      <c r="I13" s="37">
        <f t="shared" si="0"/>
        <v>0.14093738489870991</v>
      </c>
      <c r="J13" s="37">
        <f t="shared" si="3"/>
        <v>99.962937384898709</v>
      </c>
      <c r="K13" s="34"/>
    </row>
    <row r="14" spans="1:11" x14ac:dyDescent="0.25">
      <c r="A14" s="18">
        <v>8</v>
      </c>
      <c r="B14" s="18" t="s">
        <v>58</v>
      </c>
      <c r="C14" s="46">
        <v>130</v>
      </c>
      <c r="D14" s="46"/>
      <c r="E14" s="46"/>
      <c r="F14" s="46">
        <v>1.55</v>
      </c>
      <c r="G14" s="37">
        <f t="shared" si="1"/>
        <v>100.807</v>
      </c>
      <c r="H14" s="37">
        <f t="shared" si="2"/>
        <v>99.257000000000005</v>
      </c>
      <c r="I14" s="37">
        <f t="shared" si="0"/>
        <v>0.17788213627992513</v>
      </c>
      <c r="J14" s="37">
        <f t="shared" si="3"/>
        <v>99.434882136279924</v>
      </c>
      <c r="K14" s="34" t="s">
        <v>88</v>
      </c>
    </row>
    <row r="15" spans="1:11" x14ac:dyDescent="0.25">
      <c r="A15" s="18">
        <v>9</v>
      </c>
      <c r="B15" s="18"/>
      <c r="C15" s="46"/>
      <c r="D15" s="46"/>
      <c r="E15" s="46"/>
      <c r="F15" s="46"/>
      <c r="G15" s="37" t="str">
        <f t="shared" si="1"/>
        <v/>
      </c>
      <c r="H15" s="37" t="str">
        <f t="shared" si="2"/>
        <v/>
      </c>
      <c r="I15" s="37" t="str">
        <f t="shared" si="0"/>
        <v/>
      </c>
      <c r="J15" s="37" t="str">
        <f t="shared" si="3"/>
        <v/>
      </c>
      <c r="K15" s="34"/>
    </row>
    <row r="16" spans="1:11" x14ac:dyDescent="0.25">
      <c r="A16" s="18">
        <v>10</v>
      </c>
      <c r="B16" s="18"/>
      <c r="C16" s="46"/>
      <c r="D16" s="46"/>
      <c r="E16" s="46"/>
      <c r="F16" s="46"/>
      <c r="G16" s="37" t="str">
        <f t="shared" si="1"/>
        <v/>
      </c>
      <c r="H16" s="37" t="str">
        <f t="shared" si="2"/>
        <v/>
      </c>
      <c r="I16" s="37" t="str">
        <f t="shared" si="0"/>
        <v/>
      </c>
      <c r="J16" s="37" t="str">
        <f t="shared" si="3"/>
        <v/>
      </c>
      <c r="K16" s="34"/>
    </row>
    <row r="17" spans="1:11" x14ac:dyDescent="0.25">
      <c r="A17" s="18">
        <v>11</v>
      </c>
      <c r="B17" s="18"/>
      <c r="C17" s="46"/>
      <c r="D17" s="46"/>
      <c r="E17" s="46"/>
      <c r="F17" s="46"/>
      <c r="G17" s="37" t="str">
        <f t="shared" si="1"/>
        <v/>
      </c>
      <c r="H17" s="37" t="str">
        <f t="shared" si="2"/>
        <v/>
      </c>
      <c r="I17" s="37" t="str">
        <f t="shared" si="0"/>
        <v/>
      </c>
      <c r="J17" s="37" t="str">
        <f t="shared" si="3"/>
        <v/>
      </c>
      <c r="K17" s="34"/>
    </row>
    <row r="18" spans="1:11" x14ac:dyDescent="0.25">
      <c r="A18" s="18">
        <v>12</v>
      </c>
      <c r="B18" s="18"/>
      <c r="C18" s="46"/>
      <c r="D18" s="46"/>
      <c r="E18" s="46"/>
      <c r="F18" s="46"/>
      <c r="G18" s="37" t="str">
        <f t="shared" si="1"/>
        <v/>
      </c>
      <c r="H18" s="37" t="str">
        <f t="shared" si="2"/>
        <v/>
      </c>
      <c r="I18" s="37" t="str">
        <f t="shared" si="0"/>
        <v/>
      </c>
      <c r="J18" s="37" t="str">
        <f t="shared" si="3"/>
        <v/>
      </c>
      <c r="K18" s="34"/>
    </row>
    <row r="19" spans="1:11" x14ac:dyDescent="0.25">
      <c r="A19" s="18">
        <v>13</v>
      </c>
      <c r="B19" s="18"/>
      <c r="C19" s="46"/>
      <c r="D19" s="46"/>
      <c r="E19" s="46"/>
      <c r="F19" s="46"/>
      <c r="G19" s="37" t="str">
        <f t="shared" si="1"/>
        <v/>
      </c>
      <c r="H19" s="37" t="str">
        <f t="shared" si="2"/>
        <v/>
      </c>
      <c r="I19" s="37" t="str">
        <f t="shared" si="0"/>
        <v/>
      </c>
      <c r="J19" s="37" t="str">
        <f t="shared" si="3"/>
        <v/>
      </c>
      <c r="K19" s="34"/>
    </row>
    <row r="20" spans="1:11" x14ac:dyDescent="0.25">
      <c r="A20" s="18">
        <v>14</v>
      </c>
      <c r="B20" s="18"/>
      <c r="C20" s="46"/>
      <c r="D20" s="46"/>
      <c r="E20" s="46"/>
      <c r="F20" s="46"/>
      <c r="G20" s="37" t="str">
        <f t="shared" si="1"/>
        <v/>
      </c>
      <c r="H20" s="37" t="str">
        <f t="shared" si="2"/>
        <v/>
      </c>
      <c r="I20" s="37" t="str">
        <f t="shared" si="0"/>
        <v/>
      </c>
      <c r="J20" s="37" t="str">
        <f t="shared" si="3"/>
        <v/>
      </c>
      <c r="K20" s="34"/>
    </row>
    <row r="21" spans="1:11" x14ac:dyDescent="0.25">
      <c r="A21" s="18">
        <v>15</v>
      </c>
      <c r="B21" s="18"/>
      <c r="C21" s="46"/>
      <c r="D21" s="46"/>
      <c r="E21" s="46"/>
      <c r="F21" s="46"/>
      <c r="G21" s="37" t="str">
        <f t="shared" si="1"/>
        <v/>
      </c>
      <c r="H21" s="37" t="str">
        <f t="shared" si="2"/>
        <v/>
      </c>
      <c r="I21" s="37" t="str">
        <f t="shared" si="0"/>
        <v/>
      </c>
      <c r="J21" s="37" t="str">
        <f t="shared" si="3"/>
        <v/>
      </c>
      <c r="K21" s="34"/>
    </row>
    <row r="22" spans="1:11" x14ac:dyDescent="0.25">
      <c r="A22" s="18">
        <v>16</v>
      </c>
      <c r="B22" s="18"/>
      <c r="C22" s="46"/>
      <c r="D22" s="46"/>
      <c r="E22" s="46"/>
      <c r="F22" s="46"/>
      <c r="G22" s="37" t="str">
        <f t="shared" si="1"/>
        <v/>
      </c>
      <c r="H22" s="37" t="str">
        <f t="shared" si="2"/>
        <v/>
      </c>
      <c r="I22" s="37" t="str">
        <f t="shared" si="0"/>
        <v/>
      </c>
      <c r="J22" s="37" t="str">
        <f t="shared" si="3"/>
        <v/>
      </c>
      <c r="K22" s="34"/>
    </row>
    <row r="23" spans="1:11" x14ac:dyDescent="0.25">
      <c r="A23" s="18">
        <v>17</v>
      </c>
      <c r="B23" s="18"/>
      <c r="C23" s="46"/>
      <c r="D23" s="46"/>
      <c r="E23" s="46"/>
      <c r="F23" s="46"/>
      <c r="G23" s="37" t="str">
        <f t="shared" si="1"/>
        <v/>
      </c>
      <c r="H23" s="37" t="str">
        <f t="shared" si="2"/>
        <v/>
      </c>
      <c r="I23" s="37" t="str">
        <f t="shared" si="0"/>
        <v/>
      </c>
      <c r="J23" s="37" t="str">
        <f t="shared" si="3"/>
        <v/>
      </c>
      <c r="K23" s="34"/>
    </row>
    <row r="24" spans="1:11" x14ac:dyDescent="0.25">
      <c r="A24" s="18">
        <v>18</v>
      </c>
      <c r="B24" s="18"/>
      <c r="C24" s="46"/>
      <c r="D24" s="46"/>
      <c r="E24" s="46"/>
      <c r="F24" s="46"/>
      <c r="G24" s="37" t="str">
        <f t="shared" si="1"/>
        <v/>
      </c>
      <c r="H24" s="37" t="str">
        <f t="shared" si="2"/>
        <v/>
      </c>
      <c r="I24" s="37" t="str">
        <f t="shared" si="0"/>
        <v/>
      </c>
      <c r="J24" s="37" t="str">
        <f t="shared" si="3"/>
        <v/>
      </c>
      <c r="K24" s="34"/>
    </row>
    <row r="25" spans="1:11" x14ac:dyDescent="0.25">
      <c r="A25" s="18">
        <v>19</v>
      </c>
      <c r="B25" s="18"/>
      <c r="C25" s="46"/>
      <c r="D25" s="46"/>
      <c r="E25" s="46"/>
      <c r="F25" s="46"/>
      <c r="G25" s="37" t="str">
        <f t="shared" si="1"/>
        <v/>
      </c>
      <c r="H25" s="37" t="str">
        <f t="shared" si="2"/>
        <v/>
      </c>
      <c r="I25" s="37" t="str">
        <f t="shared" si="0"/>
        <v/>
      </c>
      <c r="J25" s="37" t="str">
        <f t="shared" si="3"/>
        <v/>
      </c>
      <c r="K25" s="34"/>
    </row>
    <row r="26" spans="1:11" x14ac:dyDescent="0.25">
      <c r="A26" s="18">
        <v>20</v>
      </c>
      <c r="B26" s="18"/>
      <c r="C26" s="46"/>
      <c r="D26" s="46"/>
      <c r="E26" s="46"/>
      <c r="F26" s="46"/>
      <c r="G26" s="37" t="str">
        <f t="shared" si="1"/>
        <v/>
      </c>
      <c r="H26" s="37" t="str">
        <f t="shared" si="2"/>
        <v/>
      </c>
      <c r="I26" s="37" t="str">
        <f t="shared" si="0"/>
        <v/>
      </c>
      <c r="J26" s="37" t="str">
        <f t="shared" si="3"/>
        <v/>
      </c>
      <c r="K26" s="34"/>
    </row>
    <row r="27" spans="1:11" x14ac:dyDescent="0.25">
      <c r="A27" s="18">
        <v>21</v>
      </c>
      <c r="B27" s="18"/>
      <c r="C27" s="46"/>
      <c r="D27" s="46"/>
      <c r="E27" s="46"/>
      <c r="F27" s="46"/>
      <c r="G27" s="37" t="str">
        <f t="shared" si="1"/>
        <v/>
      </c>
      <c r="H27" s="37" t="str">
        <f t="shared" si="2"/>
        <v/>
      </c>
      <c r="I27" s="37" t="str">
        <f t="shared" si="0"/>
        <v/>
      </c>
      <c r="J27" s="37" t="str">
        <f t="shared" si="3"/>
        <v/>
      </c>
      <c r="K27" s="34"/>
    </row>
    <row r="28" spans="1:11" x14ac:dyDescent="0.25">
      <c r="A28" s="18">
        <v>22</v>
      </c>
      <c r="B28" s="18"/>
      <c r="C28" s="46"/>
      <c r="D28" s="46"/>
      <c r="E28" s="46"/>
      <c r="F28" s="46"/>
      <c r="G28" s="37" t="str">
        <f t="shared" si="1"/>
        <v/>
      </c>
      <c r="H28" s="37" t="str">
        <f t="shared" si="2"/>
        <v/>
      </c>
      <c r="I28" s="37" t="str">
        <f t="shared" si="0"/>
        <v/>
      </c>
      <c r="J28" s="37" t="str">
        <f t="shared" si="3"/>
        <v/>
      </c>
      <c r="K28" s="34"/>
    </row>
    <row r="29" spans="1:11" x14ac:dyDescent="0.25">
      <c r="A29" s="18">
        <v>23</v>
      </c>
      <c r="B29" s="18"/>
      <c r="C29" s="46"/>
      <c r="D29" s="46"/>
      <c r="E29" s="46"/>
      <c r="F29" s="46"/>
      <c r="G29" s="37" t="str">
        <f t="shared" si="1"/>
        <v/>
      </c>
      <c r="H29" s="37" t="str">
        <f t="shared" si="2"/>
        <v/>
      </c>
      <c r="I29" s="37" t="str">
        <f t="shared" si="0"/>
        <v/>
      </c>
      <c r="J29" s="37" t="str">
        <f t="shared" si="3"/>
        <v/>
      </c>
      <c r="K29" s="34"/>
    </row>
    <row r="30" spans="1:11" x14ac:dyDescent="0.25">
      <c r="A30" s="18">
        <v>24</v>
      </c>
      <c r="B30" s="18"/>
      <c r="C30" s="46"/>
      <c r="D30" s="46"/>
      <c r="E30" s="46"/>
      <c r="F30" s="46"/>
      <c r="G30" s="37" t="str">
        <f t="shared" si="1"/>
        <v/>
      </c>
      <c r="H30" s="37" t="str">
        <f t="shared" si="2"/>
        <v/>
      </c>
      <c r="I30" s="37" t="str">
        <f t="shared" si="0"/>
        <v/>
      </c>
      <c r="J30" s="37" t="str">
        <f t="shared" si="3"/>
        <v/>
      </c>
      <c r="K30" s="34"/>
    </row>
    <row r="31" spans="1:11" x14ac:dyDescent="0.25">
      <c r="A31" s="18">
        <v>25</v>
      </c>
      <c r="B31" s="18"/>
      <c r="C31" s="46"/>
      <c r="D31" s="46"/>
      <c r="E31" s="46"/>
      <c r="F31" s="46"/>
      <c r="G31" s="37" t="str">
        <f t="shared" si="1"/>
        <v/>
      </c>
      <c r="H31" s="37" t="str">
        <f t="shared" si="2"/>
        <v/>
      </c>
      <c r="I31" s="37" t="str">
        <f t="shared" si="0"/>
        <v/>
      </c>
      <c r="J31" s="37" t="str">
        <f t="shared" si="3"/>
        <v/>
      </c>
      <c r="K31" s="34"/>
    </row>
    <row r="32" spans="1:11" x14ac:dyDescent="0.25">
      <c r="A32" s="18">
        <v>26</v>
      </c>
      <c r="B32" s="18"/>
      <c r="C32" s="46"/>
      <c r="D32" s="46"/>
      <c r="E32" s="46"/>
      <c r="F32" s="46"/>
      <c r="G32" s="37" t="str">
        <f t="shared" si="1"/>
        <v/>
      </c>
      <c r="H32" s="37" t="str">
        <f t="shared" si="2"/>
        <v/>
      </c>
      <c r="I32" s="37" t="str">
        <f t="shared" si="0"/>
        <v/>
      </c>
      <c r="J32" s="37" t="str">
        <f t="shared" si="3"/>
        <v/>
      </c>
      <c r="K32" s="34"/>
    </row>
    <row r="33" spans="1:11" x14ac:dyDescent="0.25">
      <c r="A33" s="18">
        <v>27</v>
      </c>
      <c r="B33" s="18"/>
      <c r="C33" s="46"/>
      <c r="D33" s="46"/>
      <c r="E33" s="46"/>
      <c r="F33" s="46"/>
      <c r="G33" s="37" t="str">
        <f t="shared" si="1"/>
        <v/>
      </c>
      <c r="H33" s="37" t="str">
        <f t="shared" si="2"/>
        <v/>
      </c>
      <c r="I33" s="37" t="str">
        <f t="shared" si="0"/>
        <v/>
      </c>
      <c r="J33" s="37" t="str">
        <f t="shared" si="3"/>
        <v/>
      </c>
      <c r="K33" s="34"/>
    </row>
    <row r="34" spans="1:11" x14ac:dyDescent="0.25">
      <c r="A34" s="18">
        <v>28</v>
      </c>
      <c r="B34" s="18"/>
      <c r="C34" s="46"/>
      <c r="D34" s="46"/>
      <c r="E34" s="46"/>
      <c r="F34" s="46"/>
      <c r="G34" s="37" t="str">
        <f t="shared" si="1"/>
        <v/>
      </c>
      <c r="H34" s="37" t="str">
        <f t="shared" si="2"/>
        <v/>
      </c>
      <c r="I34" s="37" t="str">
        <f t="shared" si="0"/>
        <v/>
      </c>
      <c r="J34" s="37" t="str">
        <f t="shared" si="3"/>
        <v/>
      </c>
      <c r="K34" s="34"/>
    </row>
    <row r="35" spans="1:11" x14ac:dyDescent="0.25">
      <c r="A35" s="18">
        <v>29</v>
      </c>
      <c r="B35" s="18"/>
      <c r="C35" s="46"/>
      <c r="D35" s="46"/>
      <c r="E35" s="46"/>
      <c r="F35" s="46"/>
      <c r="G35" s="37" t="str">
        <f t="shared" si="1"/>
        <v/>
      </c>
      <c r="H35" s="37" t="str">
        <f t="shared" si="2"/>
        <v/>
      </c>
      <c r="I35" s="37" t="str">
        <f t="shared" si="0"/>
        <v/>
      </c>
      <c r="J35" s="37" t="str">
        <f t="shared" si="3"/>
        <v/>
      </c>
      <c r="K35" s="34"/>
    </row>
    <row r="36" spans="1:11" x14ac:dyDescent="0.25">
      <c r="A36" s="18">
        <v>30</v>
      </c>
      <c r="B36" s="18"/>
      <c r="C36" s="46"/>
      <c r="D36" s="46"/>
      <c r="E36" s="46"/>
      <c r="F36" s="46"/>
      <c r="G36" s="37" t="str">
        <f t="shared" si="1"/>
        <v/>
      </c>
      <c r="H36" s="37" t="str">
        <f t="shared" si="2"/>
        <v/>
      </c>
      <c r="I36" s="37" t="str">
        <f t="shared" si="0"/>
        <v/>
      </c>
      <c r="J36" s="37" t="str">
        <f t="shared" si="3"/>
        <v/>
      </c>
      <c r="K36" s="34"/>
    </row>
    <row r="37" spans="1:11" x14ac:dyDescent="0.25">
      <c r="A37" s="18">
        <v>31</v>
      </c>
      <c r="B37" s="18"/>
      <c r="C37" s="46"/>
      <c r="D37" s="46"/>
      <c r="E37" s="46"/>
      <c r="F37" s="46"/>
      <c r="G37" s="37" t="str">
        <f t="shared" si="1"/>
        <v/>
      </c>
      <c r="H37" s="37" t="str">
        <f t="shared" si="2"/>
        <v/>
      </c>
      <c r="I37" s="37" t="str">
        <f t="shared" si="0"/>
        <v/>
      </c>
      <c r="J37" s="37" t="str">
        <f t="shared" si="3"/>
        <v/>
      </c>
      <c r="K37" s="34"/>
    </row>
    <row r="38" spans="1:11" x14ac:dyDescent="0.25">
      <c r="A38" s="18">
        <v>32</v>
      </c>
      <c r="B38" s="18"/>
      <c r="C38" s="46"/>
      <c r="D38" s="46"/>
      <c r="E38" s="46"/>
      <c r="F38" s="46"/>
      <c r="G38" s="37" t="str">
        <f t="shared" si="1"/>
        <v/>
      </c>
      <c r="H38" s="37" t="str">
        <f t="shared" si="2"/>
        <v/>
      </c>
      <c r="I38" s="37" t="str">
        <f t="shared" si="0"/>
        <v/>
      </c>
      <c r="J38" s="37" t="str">
        <f t="shared" si="3"/>
        <v/>
      </c>
      <c r="K38" s="34"/>
    </row>
    <row r="39" spans="1:11" x14ac:dyDescent="0.25">
      <c r="A39" s="18">
        <v>33</v>
      </c>
      <c r="B39" s="18"/>
      <c r="C39" s="46"/>
      <c r="D39" s="46"/>
      <c r="E39" s="46"/>
      <c r="F39" s="46"/>
      <c r="G39" s="37" t="str">
        <f t="shared" si="1"/>
        <v/>
      </c>
      <c r="H39" s="37" t="str">
        <f t="shared" si="2"/>
        <v/>
      </c>
      <c r="I39" s="37" t="str">
        <f t="shared" ref="I39:I66" si="4">IFERROR(IF(C39="","",-1*$K$4*(C39/$K$3)),"")</f>
        <v/>
      </c>
      <c r="J39" s="37" t="str">
        <f t="shared" si="3"/>
        <v/>
      </c>
      <c r="K39" s="34"/>
    </row>
    <row r="40" spans="1:11" x14ac:dyDescent="0.25">
      <c r="A40" s="18">
        <v>34</v>
      </c>
      <c r="B40" s="18"/>
      <c r="C40" s="46"/>
      <c r="D40" s="46"/>
      <c r="E40" s="46"/>
      <c r="F40" s="46"/>
      <c r="G40" s="37" t="str">
        <f t="shared" ref="G40:G71" si="5">IF(D40&lt;&gt;"",H40+D40,IF(OR(E40&lt;&gt;"",F40&lt;&gt;""),G39,""))</f>
        <v/>
      </c>
      <c r="H40" s="37" t="str">
        <f t="shared" ref="H40:H66" si="6">IF(F40&lt;&gt;"",G39-F40,IF(E40&lt;&gt;"",G39-E40,IF(D40&lt;&gt;"",H39,"")))</f>
        <v/>
      </c>
      <c r="I40" s="37" t="str">
        <f t="shared" si="4"/>
        <v/>
      </c>
      <c r="J40" s="37" t="str">
        <f t="shared" si="3"/>
        <v/>
      </c>
      <c r="K40" s="34"/>
    </row>
    <row r="41" spans="1:11" x14ac:dyDescent="0.25">
      <c r="A41" s="18">
        <v>35</v>
      </c>
      <c r="B41" s="18"/>
      <c r="C41" s="46"/>
      <c r="D41" s="46"/>
      <c r="E41" s="46"/>
      <c r="F41" s="46"/>
      <c r="G41" s="37" t="str">
        <f t="shared" si="5"/>
        <v/>
      </c>
      <c r="H41" s="37" t="str">
        <f t="shared" si="6"/>
        <v/>
      </c>
      <c r="I41" s="37" t="str">
        <f t="shared" si="4"/>
        <v/>
      </c>
      <c r="J41" s="37" t="str">
        <f t="shared" si="3"/>
        <v/>
      </c>
      <c r="K41" s="34"/>
    </row>
    <row r="42" spans="1:11" x14ac:dyDescent="0.25">
      <c r="A42" s="18">
        <v>36</v>
      </c>
      <c r="B42" s="18"/>
      <c r="C42" s="46"/>
      <c r="D42" s="46"/>
      <c r="E42" s="46"/>
      <c r="F42" s="46"/>
      <c r="G42" s="37" t="str">
        <f t="shared" si="5"/>
        <v/>
      </c>
      <c r="H42" s="37" t="str">
        <f t="shared" si="6"/>
        <v/>
      </c>
      <c r="I42" s="37" t="str">
        <f t="shared" si="4"/>
        <v/>
      </c>
      <c r="J42" s="37" t="str">
        <f t="shared" si="3"/>
        <v/>
      </c>
      <c r="K42" s="34"/>
    </row>
    <row r="43" spans="1:11" x14ac:dyDescent="0.25">
      <c r="A43" s="18">
        <v>37</v>
      </c>
      <c r="B43" s="18"/>
      <c r="C43" s="46"/>
      <c r="D43" s="46"/>
      <c r="E43" s="46"/>
      <c r="F43" s="46"/>
      <c r="G43" s="37" t="str">
        <f t="shared" si="5"/>
        <v/>
      </c>
      <c r="H43" s="37" t="str">
        <f t="shared" si="6"/>
        <v/>
      </c>
      <c r="I43" s="37" t="str">
        <f t="shared" si="4"/>
        <v/>
      </c>
      <c r="J43" s="37" t="str">
        <f t="shared" ref="J43:J74" si="7">IFERROR(IF(H43="","",H43+I43),"")</f>
        <v/>
      </c>
      <c r="K43" s="34"/>
    </row>
    <row r="44" spans="1:11" x14ac:dyDescent="0.25">
      <c r="A44" s="18">
        <v>38</v>
      </c>
      <c r="B44" s="18"/>
      <c r="C44" s="46"/>
      <c r="D44" s="46"/>
      <c r="E44" s="46"/>
      <c r="F44" s="46"/>
      <c r="G44" s="37" t="str">
        <f t="shared" si="5"/>
        <v/>
      </c>
      <c r="H44" s="37" t="str">
        <f t="shared" si="6"/>
        <v/>
      </c>
      <c r="I44" s="37" t="str">
        <f t="shared" si="4"/>
        <v/>
      </c>
      <c r="J44" s="37" t="str">
        <f t="shared" si="7"/>
        <v/>
      </c>
      <c r="K44" s="34"/>
    </row>
    <row r="45" spans="1:11" x14ac:dyDescent="0.25">
      <c r="A45" s="18">
        <v>39</v>
      </c>
      <c r="B45" s="18"/>
      <c r="C45" s="46"/>
      <c r="D45" s="46"/>
      <c r="E45" s="46"/>
      <c r="F45" s="46"/>
      <c r="G45" s="37" t="str">
        <f t="shared" si="5"/>
        <v/>
      </c>
      <c r="H45" s="37" t="str">
        <f t="shared" si="6"/>
        <v/>
      </c>
      <c r="I45" s="37" t="str">
        <f t="shared" si="4"/>
        <v/>
      </c>
      <c r="J45" s="37" t="str">
        <f t="shared" si="7"/>
        <v/>
      </c>
      <c r="K45" s="34"/>
    </row>
    <row r="46" spans="1:11" x14ac:dyDescent="0.25">
      <c r="A46" s="18">
        <v>40</v>
      </c>
      <c r="B46" s="18"/>
      <c r="C46" s="46"/>
      <c r="D46" s="46"/>
      <c r="E46" s="46"/>
      <c r="F46" s="46"/>
      <c r="G46" s="37" t="str">
        <f t="shared" si="5"/>
        <v/>
      </c>
      <c r="H46" s="37" t="str">
        <f t="shared" si="6"/>
        <v/>
      </c>
      <c r="I46" s="37" t="str">
        <f t="shared" si="4"/>
        <v/>
      </c>
      <c r="J46" s="37" t="str">
        <f t="shared" si="7"/>
        <v/>
      </c>
      <c r="K46" s="34"/>
    </row>
    <row r="47" spans="1:11" x14ac:dyDescent="0.25">
      <c r="A47" s="18">
        <v>41</v>
      </c>
      <c r="B47" s="18"/>
      <c r="C47" s="46"/>
      <c r="D47" s="46"/>
      <c r="E47" s="46"/>
      <c r="F47" s="46"/>
      <c r="G47" s="37" t="str">
        <f t="shared" si="5"/>
        <v/>
      </c>
      <c r="H47" s="37" t="str">
        <f t="shared" si="6"/>
        <v/>
      </c>
      <c r="I47" s="37" t="str">
        <f t="shared" si="4"/>
        <v/>
      </c>
      <c r="J47" s="37" t="str">
        <f t="shared" si="7"/>
        <v/>
      </c>
      <c r="K47" s="34"/>
    </row>
    <row r="48" spans="1:11" x14ac:dyDescent="0.25">
      <c r="A48" s="18">
        <v>42</v>
      </c>
      <c r="B48" s="18"/>
      <c r="C48" s="46"/>
      <c r="D48" s="46"/>
      <c r="E48" s="46"/>
      <c r="F48" s="46"/>
      <c r="G48" s="37" t="str">
        <f t="shared" si="5"/>
        <v/>
      </c>
      <c r="H48" s="37" t="str">
        <f t="shared" si="6"/>
        <v/>
      </c>
      <c r="I48" s="37" t="str">
        <f t="shared" si="4"/>
        <v/>
      </c>
      <c r="J48" s="37" t="str">
        <f t="shared" si="7"/>
        <v/>
      </c>
      <c r="K48" s="34"/>
    </row>
    <row r="49" spans="1:11" x14ac:dyDescent="0.25">
      <c r="A49" s="18">
        <v>43</v>
      </c>
      <c r="B49" s="18"/>
      <c r="C49" s="46"/>
      <c r="D49" s="46"/>
      <c r="E49" s="46"/>
      <c r="F49" s="46"/>
      <c r="G49" s="37" t="str">
        <f t="shared" si="5"/>
        <v/>
      </c>
      <c r="H49" s="37" t="str">
        <f t="shared" si="6"/>
        <v/>
      </c>
      <c r="I49" s="37" t="str">
        <f t="shared" si="4"/>
        <v/>
      </c>
      <c r="J49" s="37" t="str">
        <f t="shared" si="7"/>
        <v/>
      </c>
      <c r="K49" s="34"/>
    </row>
    <row r="50" spans="1:11" x14ac:dyDescent="0.25">
      <c r="A50" s="18">
        <v>44</v>
      </c>
      <c r="B50" s="18"/>
      <c r="C50" s="46"/>
      <c r="D50" s="46"/>
      <c r="E50" s="46"/>
      <c r="F50" s="46"/>
      <c r="G50" s="37" t="str">
        <f t="shared" si="5"/>
        <v/>
      </c>
      <c r="H50" s="37" t="str">
        <f t="shared" si="6"/>
        <v/>
      </c>
      <c r="I50" s="37" t="str">
        <f t="shared" si="4"/>
        <v/>
      </c>
      <c r="J50" s="37" t="str">
        <f t="shared" si="7"/>
        <v/>
      </c>
      <c r="K50" s="34"/>
    </row>
    <row r="51" spans="1:11" x14ac:dyDescent="0.25">
      <c r="A51" s="18">
        <v>45</v>
      </c>
      <c r="B51" s="18"/>
      <c r="C51" s="46"/>
      <c r="D51" s="46"/>
      <c r="E51" s="46"/>
      <c r="F51" s="46"/>
      <c r="G51" s="37" t="str">
        <f t="shared" si="5"/>
        <v/>
      </c>
      <c r="H51" s="37" t="str">
        <f t="shared" si="6"/>
        <v/>
      </c>
      <c r="I51" s="37" t="str">
        <f t="shared" si="4"/>
        <v/>
      </c>
      <c r="J51" s="37" t="str">
        <f t="shared" si="7"/>
        <v/>
      </c>
      <c r="K51" s="34"/>
    </row>
    <row r="52" spans="1:11" x14ac:dyDescent="0.25">
      <c r="A52" s="18">
        <v>46</v>
      </c>
      <c r="B52" s="18"/>
      <c r="C52" s="46"/>
      <c r="D52" s="46"/>
      <c r="E52" s="46"/>
      <c r="F52" s="46"/>
      <c r="G52" s="37" t="str">
        <f t="shared" si="5"/>
        <v/>
      </c>
      <c r="H52" s="37" t="str">
        <f t="shared" si="6"/>
        <v/>
      </c>
      <c r="I52" s="37" t="str">
        <f t="shared" si="4"/>
        <v/>
      </c>
      <c r="J52" s="37" t="str">
        <f t="shared" si="7"/>
        <v/>
      </c>
      <c r="K52" s="34"/>
    </row>
    <row r="53" spans="1:11" x14ac:dyDescent="0.25">
      <c r="A53" s="18">
        <v>47</v>
      </c>
      <c r="B53" s="18"/>
      <c r="C53" s="46"/>
      <c r="D53" s="46"/>
      <c r="E53" s="46"/>
      <c r="F53" s="46"/>
      <c r="G53" s="37" t="str">
        <f t="shared" si="5"/>
        <v/>
      </c>
      <c r="H53" s="37" t="str">
        <f t="shared" si="6"/>
        <v/>
      </c>
      <c r="I53" s="37" t="str">
        <f t="shared" si="4"/>
        <v/>
      </c>
      <c r="J53" s="37" t="str">
        <f t="shared" si="7"/>
        <v/>
      </c>
      <c r="K53" s="34"/>
    </row>
    <row r="54" spans="1:11" x14ac:dyDescent="0.25">
      <c r="A54" s="18">
        <v>48</v>
      </c>
      <c r="B54" s="18"/>
      <c r="C54" s="46"/>
      <c r="D54" s="46"/>
      <c r="E54" s="46"/>
      <c r="F54" s="46"/>
      <c r="G54" s="37" t="str">
        <f t="shared" si="5"/>
        <v/>
      </c>
      <c r="H54" s="37" t="str">
        <f t="shared" si="6"/>
        <v/>
      </c>
      <c r="I54" s="37" t="str">
        <f t="shared" si="4"/>
        <v/>
      </c>
      <c r="J54" s="37" t="str">
        <f t="shared" si="7"/>
        <v/>
      </c>
      <c r="K54" s="34"/>
    </row>
    <row r="55" spans="1:11" x14ac:dyDescent="0.25">
      <c r="A55" s="18">
        <v>49</v>
      </c>
      <c r="B55" s="18"/>
      <c r="C55" s="46"/>
      <c r="D55" s="46"/>
      <c r="E55" s="46"/>
      <c r="F55" s="46"/>
      <c r="G55" s="37" t="str">
        <f t="shared" si="5"/>
        <v/>
      </c>
      <c r="H55" s="37" t="str">
        <f t="shared" si="6"/>
        <v/>
      </c>
      <c r="I55" s="37" t="str">
        <f t="shared" si="4"/>
        <v/>
      </c>
      <c r="J55" s="37" t="str">
        <f t="shared" si="7"/>
        <v/>
      </c>
      <c r="K55" s="34"/>
    </row>
    <row r="56" spans="1:11" x14ac:dyDescent="0.25">
      <c r="A56" s="18">
        <v>50</v>
      </c>
      <c r="B56" s="18"/>
      <c r="C56" s="46"/>
      <c r="D56" s="46"/>
      <c r="E56" s="46"/>
      <c r="F56" s="46"/>
      <c r="G56" s="37" t="str">
        <f t="shared" si="5"/>
        <v/>
      </c>
      <c r="H56" s="37" t="str">
        <f t="shared" si="6"/>
        <v/>
      </c>
      <c r="I56" s="37" t="str">
        <f t="shared" si="4"/>
        <v/>
      </c>
      <c r="J56" s="37" t="str">
        <f t="shared" si="7"/>
        <v/>
      </c>
      <c r="K56" s="34"/>
    </row>
    <row r="57" spans="1:11" x14ac:dyDescent="0.25">
      <c r="A57" s="18">
        <v>51</v>
      </c>
      <c r="B57" s="18"/>
      <c r="C57" s="46"/>
      <c r="D57" s="46"/>
      <c r="E57" s="46"/>
      <c r="F57" s="46"/>
      <c r="G57" s="37" t="str">
        <f t="shared" si="5"/>
        <v/>
      </c>
      <c r="H57" s="37" t="str">
        <f t="shared" si="6"/>
        <v/>
      </c>
      <c r="I57" s="37" t="str">
        <f t="shared" si="4"/>
        <v/>
      </c>
      <c r="J57" s="37" t="str">
        <f t="shared" si="7"/>
        <v/>
      </c>
      <c r="K57" s="34"/>
    </row>
    <row r="58" spans="1:11" x14ac:dyDescent="0.25">
      <c r="A58" s="18">
        <v>52</v>
      </c>
      <c r="B58" s="18"/>
      <c r="C58" s="46"/>
      <c r="D58" s="46"/>
      <c r="E58" s="46"/>
      <c r="F58" s="46"/>
      <c r="G58" s="37" t="str">
        <f t="shared" si="5"/>
        <v/>
      </c>
      <c r="H58" s="37" t="str">
        <f t="shared" si="6"/>
        <v/>
      </c>
      <c r="I58" s="37" t="str">
        <f t="shared" si="4"/>
        <v/>
      </c>
      <c r="J58" s="37" t="str">
        <f t="shared" si="7"/>
        <v/>
      </c>
      <c r="K58" s="34"/>
    </row>
    <row r="59" spans="1:11" x14ac:dyDescent="0.25">
      <c r="A59" s="18">
        <v>53</v>
      </c>
      <c r="B59" s="18"/>
      <c r="C59" s="46"/>
      <c r="D59" s="46"/>
      <c r="E59" s="46"/>
      <c r="F59" s="46"/>
      <c r="G59" s="37" t="str">
        <f t="shared" si="5"/>
        <v/>
      </c>
      <c r="H59" s="37" t="str">
        <f t="shared" si="6"/>
        <v/>
      </c>
      <c r="I59" s="37" t="str">
        <f t="shared" si="4"/>
        <v/>
      </c>
      <c r="J59" s="37" t="str">
        <f t="shared" si="7"/>
        <v/>
      </c>
      <c r="K59" s="34"/>
    </row>
    <row r="60" spans="1:11" x14ac:dyDescent="0.25">
      <c r="A60" s="18">
        <v>54</v>
      </c>
      <c r="B60" s="18"/>
      <c r="C60" s="46"/>
      <c r="D60" s="46"/>
      <c r="E60" s="46"/>
      <c r="F60" s="46"/>
      <c r="G60" s="37" t="str">
        <f t="shared" si="5"/>
        <v/>
      </c>
      <c r="H60" s="37" t="str">
        <f t="shared" si="6"/>
        <v/>
      </c>
      <c r="I60" s="37" t="str">
        <f t="shared" si="4"/>
        <v/>
      </c>
      <c r="J60" s="37" t="str">
        <f t="shared" si="7"/>
        <v/>
      </c>
      <c r="K60" s="34"/>
    </row>
    <row r="61" spans="1:11" x14ac:dyDescent="0.25">
      <c r="A61" s="18">
        <v>55</v>
      </c>
      <c r="B61" s="18"/>
      <c r="C61" s="46"/>
      <c r="D61" s="46"/>
      <c r="E61" s="46"/>
      <c r="F61" s="46"/>
      <c r="G61" s="37" t="str">
        <f t="shared" si="5"/>
        <v/>
      </c>
      <c r="H61" s="37" t="str">
        <f t="shared" si="6"/>
        <v/>
      </c>
      <c r="I61" s="37" t="str">
        <f t="shared" si="4"/>
        <v/>
      </c>
      <c r="J61" s="37" t="str">
        <f t="shared" si="7"/>
        <v/>
      </c>
      <c r="K61" s="34"/>
    </row>
    <row r="62" spans="1:11" x14ac:dyDescent="0.25">
      <c r="A62" s="18">
        <v>56</v>
      </c>
      <c r="B62" s="18"/>
      <c r="C62" s="46"/>
      <c r="D62" s="46"/>
      <c r="E62" s="46"/>
      <c r="F62" s="46"/>
      <c r="G62" s="37" t="str">
        <f t="shared" si="5"/>
        <v/>
      </c>
      <c r="H62" s="37" t="str">
        <f t="shared" si="6"/>
        <v/>
      </c>
      <c r="I62" s="37" t="str">
        <f t="shared" si="4"/>
        <v/>
      </c>
      <c r="J62" s="37" t="str">
        <f t="shared" si="7"/>
        <v/>
      </c>
      <c r="K62" s="34"/>
    </row>
    <row r="63" spans="1:11" x14ac:dyDescent="0.25">
      <c r="A63" s="18">
        <v>57</v>
      </c>
      <c r="B63" s="18"/>
      <c r="C63" s="46"/>
      <c r="D63" s="46"/>
      <c r="E63" s="46"/>
      <c r="F63" s="46"/>
      <c r="G63" s="37" t="str">
        <f t="shared" si="5"/>
        <v/>
      </c>
      <c r="H63" s="37" t="str">
        <f t="shared" si="6"/>
        <v/>
      </c>
      <c r="I63" s="37" t="str">
        <f t="shared" si="4"/>
        <v/>
      </c>
      <c r="J63" s="37" t="str">
        <f t="shared" si="7"/>
        <v/>
      </c>
      <c r="K63" s="34"/>
    </row>
    <row r="64" spans="1:11" x14ac:dyDescent="0.25">
      <c r="A64" s="18">
        <v>58</v>
      </c>
      <c r="B64" s="18"/>
      <c r="C64" s="46"/>
      <c r="D64" s="46"/>
      <c r="E64" s="46"/>
      <c r="F64" s="46"/>
      <c r="G64" s="37" t="str">
        <f t="shared" si="5"/>
        <v/>
      </c>
      <c r="H64" s="37" t="str">
        <f t="shared" si="6"/>
        <v/>
      </c>
      <c r="I64" s="37" t="str">
        <f t="shared" si="4"/>
        <v/>
      </c>
      <c r="J64" s="37" t="str">
        <f t="shared" si="7"/>
        <v/>
      </c>
      <c r="K64" s="34"/>
    </row>
    <row r="65" spans="1:11" x14ac:dyDescent="0.25">
      <c r="A65" s="18">
        <v>59</v>
      </c>
      <c r="B65" s="18"/>
      <c r="C65" s="46"/>
      <c r="D65" s="46"/>
      <c r="E65" s="46"/>
      <c r="F65" s="46"/>
      <c r="G65" s="37" t="str">
        <f t="shared" si="5"/>
        <v/>
      </c>
      <c r="H65" s="37" t="str">
        <f t="shared" si="6"/>
        <v/>
      </c>
      <c r="I65" s="37" t="str">
        <f t="shared" si="4"/>
        <v/>
      </c>
      <c r="J65" s="37" t="str">
        <f t="shared" si="7"/>
        <v/>
      </c>
      <c r="K65" s="34"/>
    </row>
    <row r="66" spans="1:11" x14ac:dyDescent="0.25">
      <c r="A66" s="18">
        <v>60</v>
      </c>
      <c r="B66" s="18"/>
      <c r="C66" s="46"/>
      <c r="D66" s="46"/>
      <c r="E66" s="46"/>
      <c r="F66" s="46"/>
      <c r="G66" s="37" t="str">
        <f t="shared" si="5"/>
        <v/>
      </c>
      <c r="H66" s="37" t="str">
        <f t="shared" si="6"/>
        <v/>
      </c>
      <c r="I66" s="37" t="str">
        <f t="shared" si="4"/>
        <v/>
      </c>
      <c r="J66" s="37" t="str">
        <f t="shared" si="7"/>
        <v/>
      </c>
      <c r="K66" s="34"/>
    </row>
  </sheetData>
  <sheetProtection algorithmName="SHA-512" hashValue="oACcITP4IPF+Asow5wSwSV4WzhHG4gM9k3pa8yyi0qgvj2PimU2vMm443qMooCuiNcypSX3rR2U3BhD6wpsi4Q==" saltValue="6jyu5DnScp5TLbuWvwUlUA==" spinCount="100000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pane xSplit="2" ySplit="6" topLeftCell="C58" activePane="bottomRight" state="frozen"/>
      <selection pane="topRight"/>
      <selection pane="bottomLeft"/>
      <selection pane="bottomRight" activeCell="H19" sqref="H19"/>
    </sheetView>
  </sheetViews>
  <sheetFormatPr baseColWidth="10" defaultColWidth="9.140625" defaultRowHeight="15" x14ac:dyDescent="0.25"/>
  <cols>
    <col min="1" max="1" width="9.42578125" style="10" customWidth="1"/>
    <col min="2" max="3" width="14" style="10" customWidth="1"/>
    <col min="4" max="4" width="12" style="10" customWidth="1"/>
    <col min="5" max="6" width="13" style="10" customWidth="1"/>
    <col min="7" max="7" width="17.140625" style="41" customWidth="1"/>
    <col min="8" max="8" width="16" style="41" customWidth="1"/>
    <col min="9" max="9" width="14" style="41" customWidth="1"/>
    <col min="10" max="10" width="18" style="41" customWidth="1"/>
    <col min="11" max="16384" width="9.140625" style="10"/>
  </cols>
  <sheetData>
    <row r="1" spans="1:10" ht="15" customHeight="1" x14ac:dyDescent="0.25">
      <c r="F1" s="61" t="s">
        <v>89</v>
      </c>
    </row>
    <row r="2" spans="1:10" ht="15" customHeight="1" x14ac:dyDescent="0.25">
      <c r="F2" s="39" t="s">
        <v>90</v>
      </c>
    </row>
    <row r="3" spans="1:10" ht="25.5" x14ac:dyDescent="0.25">
      <c r="I3" s="54" t="s">
        <v>67</v>
      </c>
      <c r="J3" s="37">
        <f>SUM(D7:D86)</f>
        <v>0</v>
      </c>
    </row>
    <row r="4" spans="1:10" s="63" customFormat="1" ht="38.25" x14ac:dyDescent="0.25">
      <c r="A4" s="44" t="s">
        <v>91</v>
      </c>
      <c r="B4" s="18" t="s">
        <v>58</v>
      </c>
      <c r="C4" s="44" t="s">
        <v>69</v>
      </c>
      <c r="D4" s="46">
        <v>100</v>
      </c>
      <c r="E4" s="44" t="s">
        <v>71</v>
      </c>
      <c r="F4" s="46">
        <v>100</v>
      </c>
      <c r="G4" s="62"/>
      <c r="H4" s="62"/>
      <c r="I4" s="53" t="s">
        <v>72</v>
      </c>
      <c r="J4" s="59" t="str">
        <f>IFERROR(LOOKUP(2,1/(H7:H86&lt;&gt;""),H7:H86)-F4,"")</f>
        <v/>
      </c>
    </row>
    <row r="6" spans="1:10" ht="42" customHeight="1" x14ac:dyDescent="0.25">
      <c r="A6" s="31" t="s">
        <v>39</v>
      </c>
      <c r="B6" s="31" t="s">
        <v>92</v>
      </c>
      <c r="C6" s="31" t="s">
        <v>93</v>
      </c>
      <c r="D6" s="31" t="s">
        <v>74</v>
      </c>
      <c r="E6" s="31" t="s">
        <v>94</v>
      </c>
      <c r="F6" s="31" t="s">
        <v>95</v>
      </c>
      <c r="G6" s="55" t="s">
        <v>96</v>
      </c>
      <c r="H6" s="55" t="s">
        <v>79</v>
      </c>
      <c r="I6" s="55" t="s">
        <v>80</v>
      </c>
      <c r="J6" s="55" t="s">
        <v>97</v>
      </c>
    </row>
    <row r="7" spans="1:10" x14ac:dyDescent="0.25">
      <c r="A7" s="18">
        <v>1</v>
      </c>
      <c r="B7" s="18"/>
      <c r="C7" s="18"/>
      <c r="D7" s="46"/>
      <c r="E7" s="46"/>
      <c r="F7" s="46"/>
      <c r="G7" s="37" t="str">
        <f t="shared" ref="G7:G38" si="0">IF(OR(E7="",F7=""),"",E7-F7)</f>
        <v/>
      </c>
      <c r="H7" s="37" t="str">
        <f>IF(G7="","",$D$4+G7)</f>
        <v/>
      </c>
      <c r="I7" s="59" t="str">
        <f t="shared" ref="I7:I38" si="1">IFERROR(IF(D7="","",-1*$J$4*(D7/$J$3)),"")</f>
        <v/>
      </c>
      <c r="J7" s="37" t="str">
        <f>IFERROR(IF(H7="","",H7+I7),"")</f>
        <v/>
      </c>
    </row>
    <row r="8" spans="1:10" x14ac:dyDescent="0.25">
      <c r="A8" s="18">
        <v>2</v>
      </c>
      <c r="B8" s="18"/>
      <c r="C8" s="18"/>
      <c r="D8" s="46"/>
      <c r="E8" s="46"/>
      <c r="F8" s="46"/>
      <c r="G8" s="37" t="str">
        <f t="shared" si="0"/>
        <v/>
      </c>
      <c r="H8" s="37" t="str">
        <f t="shared" ref="H8:H39" si="2">IF(G8="","",IF(H7="",$D$4+G8,H7+G8))</f>
        <v/>
      </c>
      <c r="I8" s="59" t="str">
        <f t="shared" si="1"/>
        <v/>
      </c>
      <c r="J8" s="37" t="str">
        <f t="shared" ref="J8:J39" si="3">IFERROR(IF(H8="","",IF(J7="",$D$4+G8+I8,J7+G8+I8)),"")</f>
        <v/>
      </c>
    </row>
    <row r="9" spans="1:10" x14ac:dyDescent="0.25">
      <c r="A9" s="18">
        <v>3</v>
      </c>
      <c r="B9" s="18"/>
      <c r="C9" s="18"/>
      <c r="D9" s="46"/>
      <c r="E9" s="46"/>
      <c r="F9" s="46"/>
      <c r="G9" s="37" t="str">
        <f t="shared" si="0"/>
        <v/>
      </c>
      <c r="H9" s="37" t="str">
        <f t="shared" si="2"/>
        <v/>
      </c>
      <c r="I9" s="59" t="str">
        <f t="shared" si="1"/>
        <v/>
      </c>
      <c r="J9" s="37" t="str">
        <f t="shared" si="3"/>
        <v/>
      </c>
    </row>
    <row r="10" spans="1:10" x14ac:dyDescent="0.25">
      <c r="A10" s="18">
        <v>4</v>
      </c>
      <c r="B10" s="18"/>
      <c r="C10" s="18"/>
      <c r="D10" s="46"/>
      <c r="E10" s="46"/>
      <c r="F10" s="46"/>
      <c r="G10" s="37" t="str">
        <f t="shared" si="0"/>
        <v/>
      </c>
      <c r="H10" s="37" t="str">
        <f t="shared" si="2"/>
        <v/>
      </c>
      <c r="I10" s="59" t="str">
        <f t="shared" si="1"/>
        <v/>
      </c>
      <c r="J10" s="37" t="str">
        <f t="shared" si="3"/>
        <v/>
      </c>
    </row>
    <row r="11" spans="1:10" x14ac:dyDescent="0.25">
      <c r="A11" s="18">
        <v>5</v>
      </c>
      <c r="B11" s="18"/>
      <c r="C11" s="18"/>
      <c r="D11" s="46"/>
      <c r="E11" s="46"/>
      <c r="F11" s="46"/>
      <c r="G11" s="37" t="str">
        <f t="shared" si="0"/>
        <v/>
      </c>
      <c r="H11" s="37" t="str">
        <f t="shared" si="2"/>
        <v/>
      </c>
      <c r="I11" s="59" t="str">
        <f t="shared" si="1"/>
        <v/>
      </c>
      <c r="J11" s="37" t="str">
        <f t="shared" si="3"/>
        <v/>
      </c>
    </row>
    <row r="12" spans="1:10" x14ac:dyDescent="0.25">
      <c r="A12" s="18">
        <v>6</v>
      </c>
      <c r="B12" s="18"/>
      <c r="C12" s="18"/>
      <c r="D12" s="46"/>
      <c r="E12" s="46"/>
      <c r="F12" s="46"/>
      <c r="G12" s="37" t="str">
        <f t="shared" si="0"/>
        <v/>
      </c>
      <c r="H12" s="37" t="str">
        <f t="shared" si="2"/>
        <v/>
      </c>
      <c r="I12" s="59" t="str">
        <f t="shared" si="1"/>
        <v/>
      </c>
      <c r="J12" s="37" t="str">
        <f t="shared" si="3"/>
        <v/>
      </c>
    </row>
    <row r="13" spans="1:10" x14ac:dyDescent="0.25">
      <c r="A13" s="18">
        <v>7</v>
      </c>
      <c r="B13" s="18"/>
      <c r="C13" s="18"/>
      <c r="D13" s="46"/>
      <c r="E13" s="46"/>
      <c r="F13" s="46"/>
      <c r="G13" s="37" t="str">
        <f t="shared" si="0"/>
        <v/>
      </c>
      <c r="H13" s="37" t="str">
        <f t="shared" si="2"/>
        <v/>
      </c>
      <c r="I13" s="59" t="str">
        <f t="shared" si="1"/>
        <v/>
      </c>
      <c r="J13" s="37" t="str">
        <f t="shared" si="3"/>
        <v/>
      </c>
    </row>
    <row r="14" spans="1:10" x14ac:dyDescent="0.25">
      <c r="A14" s="18">
        <v>8</v>
      </c>
      <c r="B14" s="18"/>
      <c r="C14" s="18"/>
      <c r="D14" s="46"/>
      <c r="E14" s="46"/>
      <c r="F14" s="46"/>
      <c r="G14" s="37" t="str">
        <f t="shared" si="0"/>
        <v/>
      </c>
      <c r="H14" s="37" t="str">
        <f t="shared" si="2"/>
        <v/>
      </c>
      <c r="I14" s="59" t="str">
        <f t="shared" si="1"/>
        <v/>
      </c>
      <c r="J14" s="37" t="str">
        <f t="shared" si="3"/>
        <v/>
      </c>
    </row>
    <row r="15" spans="1:10" x14ac:dyDescent="0.25">
      <c r="A15" s="18">
        <v>9</v>
      </c>
      <c r="B15" s="18"/>
      <c r="C15" s="18"/>
      <c r="D15" s="46"/>
      <c r="E15" s="46"/>
      <c r="F15" s="46"/>
      <c r="G15" s="37" t="str">
        <f t="shared" si="0"/>
        <v/>
      </c>
      <c r="H15" s="37" t="str">
        <f t="shared" si="2"/>
        <v/>
      </c>
      <c r="I15" s="59" t="str">
        <f t="shared" si="1"/>
        <v/>
      </c>
      <c r="J15" s="37" t="str">
        <f t="shared" si="3"/>
        <v/>
      </c>
    </row>
    <row r="16" spans="1:10" x14ac:dyDescent="0.25">
      <c r="A16" s="18">
        <v>10</v>
      </c>
      <c r="B16" s="18"/>
      <c r="C16" s="18"/>
      <c r="D16" s="46"/>
      <c r="E16" s="46"/>
      <c r="F16" s="46"/>
      <c r="G16" s="37" t="str">
        <f t="shared" si="0"/>
        <v/>
      </c>
      <c r="H16" s="37" t="str">
        <f t="shared" si="2"/>
        <v/>
      </c>
      <c r="I16" s="59" t="str">
        <f t="shared" si="1"/>
        <v/>
      </c>
      <c r="J16" s="37" t="str">
        <f t="shared" si="3"/>
        <v/>
      </c>
    </row>
    <row r="17" spans="1:10" x14ac:dyDescent="0.25">
      <c r="A17" s="18">
        <v>11</v>
      </c>
      <c r="B17" s="18"/>
      <c r="C17" s="18"/>
      <c r="D17" s="46"/>
      <c r="E17" s="46"/>
      <c r="F17" s="46"/>
      <c r="G17" s="37" t="str">
        <f t="shared" si="0"/>
        <v/>
      </c>
      <c r="H17" s="37" t="str">
        <f t="shared" si="2"/>
        <v/>
      </c>
      <c r="I17" s="59" t="str">
        <f t="shared" si="1"/>
        <v/>
      </c>
      <c r="J17" s="37" t="str">
        <f t="shared" si="3"/>
        <v/>
      </c>
    </row>
    <row r="18" spans="1:10" x14ac:dyDescent="0.25">
      <c r="A18" s="18">
        <v>12</v>
      </c>
      <c r="B18" s="18"/>
      <c r="C18" s="18"/>
      <c r="D18" s="46"/>
      <c r="E18" s="46"/>
      <c r="F18" s="46"/>
      <c r="G18" s="37" t="str">
        <f t="shared" si="0"/>
        <v/>
      </c>
      <c r="H18" s="37" t="str">
        <f t="shared" si="2"/>
        <v/>
      </c>
      <c r="I18" s="59" t="str">
        <f t="shared" si="1"/>
        <v/>
      </c>
      <c r="J18" s="37" t="str">
        <f t="shared" si="3"/>
        <v/>
      </c>
    </row>
    <row r="19" spans="1:10" x14ac:dyDescent="0.25">
      <c r="A19" s="18">
        <v>13</v>
      </c>
      <c r="B19" s="18"/>
      <c r="C19" s="18"/>
      <c r="D19" s="46"/>
      <c r="E19" s="46"/>
      <c r="F19" s="46"/>
      <c r="G19" s="37" t="str">
        <f t="shared" si="0"/>
        <v/>
      </c>
      <c r="H19" s="37" t="str">
        <f t="shared" si="2"/>
        <v/>
      </c>
      <c r="I19" s="59" t="str">
        <f t="shared" si="1"/>
        <v/>
      </c>
      <c r="J19" s="37" t="str">
        <f t="shared" si="3"/>
        <v/>
      </c>
    </row>
    <row r="20" spans="1:10" x14ac:dyDescent="0.25">
      <c r="A20" s="18">
        <v>14</v>
      </c>
      <c r="B20" s="18"/>
      <c r="C20" s="18"/>
      <c r="D20" s="46"/>
      <c r="E20" s="46"/>
      <c r="F20" s="46"/>
      <c r="G20" s="37" t="str">
        <f t="shared" si="0"/>
        <v/>
      </c>
      <c r="H20" s="37" t="str">
        <f t="shared" si="2"/>
        <v/>
      </c>
      <c r="I20" s="59" t="str">
        <f t="shared" si="1"/>
        <v/>
      </c>
      <c r="J20" s="37" t="str">
        <f t="shared" si="3"/>
        <v/>
      </c>
    </row>
    <row r="21" spans="1:10" x14ac:dyDescent="0.25">
      <c r="A21" s="18">
        <v>15</v>
      </c>
      <c r="B21" s="18"/>
      <c r="C21" s="18"/>
      <c r="D21" s="46"/>
      <c r="E21" s="46"/>
      <c r="F21" s="46"/>
      <c r="G21" s="37" t="str">
        <f t="shared" si="0"/>
        <v/>
      </c>
      <c r="H21" s="37" t="str">
        <f t="shared" si="2"/>
        <v/>
      </c>
      <c r="I21" s="59" t="str">
        <f t="shared" si="1"/>
        <v/>
      </c>
      <c r="J21" s="37" t="str">
        <f t="shared" si="3"/>
        <v/>
      </c>
    </row>
    <row r="22" spans="1:10" x14ac:dyDescent="0.25">
      <c r="A22" s="18">
        <v>16</v>
      </c>
      <c r="B22" s="18"/>
      <c r="C22" s="18"/>
      <c r="D22" s="46"/>
      <c r="E22" s="46"/>
      <c r="F22" s="46"/>
      <c r="G22" s="37" t="str">
        <f t="shared" si="0"/>
        <v/>
      </c>
      <c r="H22" s="37" t="str">
        <f t="shared" si="2"/>
        <v/>
      </c>
      <c r="I22" s="59" t="str">
        <f t="shared" si="1"/>
        <v/>
      </c>
      <c r="J22" s="37" t="str">
        <f t="shared" si="3"/>
        <v/>
      </c>
    </row>
    <row r="23" spans="1:10" x14ac:dyDescent="0.25">
      <c r="A23" s="18">
        <v>17</v>
      </c>
      <c r="B23" s="18"/>
      <c r="C23" s="18"/>
      <c r="D23" s="46"/>
      <c r="E23" s="46"/>
      <c r="F23" s="46"/>
      <c r="G23" s="37" t="str">
        <f t="shared" si="0"/>
        <v/>
      </c>
      <c r="H23" s="37" t="str">
        <f t="shared" si="2"/>
        <v/>
      </c>
      <c r="I23" s="59" t="str">
        <f t="shared" si="1"/>
        <v/>
      </c>
      <c r="J23" s="37" t="str">
        <f t="shared" si="3"/>
        <v/>
      </c>
    </row>
    <row r="24" spans="1:10" x14ac:dyDescent="0.25">
      <c r="A24" s="18">
        <v>18</v>
      </c>
      <c r="B24" s="18"/>
      <c r="C24" s="18"/>
      <c r="D24" s="46"/>
      <c r="E24" s="46"/>
      <c r="F24" s="46"/>
      <c r="G24" s="37" t="str">
        <f t="shared" si="0"/>
        <v/>
      </c>
      <c r="H24" s="37" t="str">
        <f t="shared" si="2"/>
        <v/>
      </c>
      <c r="I24" s="59" t="str">
        <f t="shared" si="1"/>
        <v/>
      </c>
      <c r="J24" s="37" t="str">
        <f t="shared" si="3"/>
        <v/>
      </c>
    </row>
    <row r="25" spans="1:10" x14ac:dyDescent="0.25">
      <c r="A25" s="18">
        <v>19</v>
      </c>
      <c r="B25" s="18"/>
      <c r="C25" s="18"/>
      <c r="D25" s="46"/>
      <c r="E25" s="46"/>
      <c r="F25" s="46"/>
      <c r="G25" s="37" t="str">
        <f t="shared" si="0"/>
        <v/>
      </c>
      <c r="H25" s="37" t="str">
        <f t="shared" si="2"/>
        <v/>
      </c>
      <c r="I25" s="59" t="str">
        <f t="shared" si="1"/>
        <v/>
      </c>
      <c r="J25" s="37" t="str">
        <f t="shared" si="3"/>
        <v/>
      </c>
    </row>
    <row r="26" spans="1:10" x14ac:dyDescent="0.25">
      <c r="A26" s="18">
        <v>20</v>
      </c>
      <c r="B26" s="18"/>
      <c r="C26" s="18"/>
      <c r="D26" s="46"/>
      <c r="E26" s="46"/>
      <c r="F26" s="46"/>
      <c r="G26" s="37" t="str">
        <f t="shared" si="0"/>
        <v/>
      </c>
      <c r="H26" s="37" t="str">
        <f t="shared" si="2"/>
        <v/>
      </c>
      <c r="I26" s="59" t="str">
        <f t="shared" si="1"/>
        <v/>
      </c>
      <c r="J26" s="37" t="str">
        <f t="shared" si="3"/>
        <v/>
      </c>
    </row>
    <row r="27" spans="1:10" x14ac:dyDescent="0.25">
      <c r="A27" s="18">
        <v>21</v>
      </c>
      <c r="B27" s="18"/>
      <c r="C27" s="18"/>
      <c r="D27" s="46"/>
      <c r="E27" s="46"/>
      <c r="F27" s="46"/>
      <c r="G27" s="37" t="str">
        <f t="shared" si="0"/>
        <v/>
      </c>
      <c r="H27" s="37" t="str">
        <f t="shared" si="2"/>
        <v/>
      </c>
      <c r="I27" s="59" t="str">
        <f t="shared" si="1"/>
        <v/>
      </c>
      <c r="J27" s="37" t="str">
        <f t="shared" si="3"/>
        <v/>
      </c>
    </row>
    <row r="28" spans="1:10" x14ac:dyDescent="0.25">
      <c r="A28" s="18">
        <v>22</v>
      </c>
      <c r="B28" s="18"/>
      <c r="C28" s="18"/>
      <c r="D28" s="46"/>
      <c r="E28" s="46"/>
      <c r="F28" s="46"/>
      <c r="G28" s="37" t="str">
        <f t="shared" si="0"/>
        <v/>
      </c>
      <c r="H28" s="37" t="str">
        <f t="shared" si="2"/>
        <v/>
      </c>
      <c r="I28" s="59" t="str">
        <f t="shared" si="1"/>
        <v/>
      </c>
      <c r="J28" s="37" t="str">
        <f t="shared" si="3"/>
        <v/>
      </c>
    </row>
    <row r="29" spans="1:10" x14ac:dyDescent="0.25">
      <c r="A29" s="18">
        <v>23</v>
      </c>
      <c r="B29" s="18"/>
      <c r="C29" s="18"/>
      <c r="D29" s="46"/>
      <c r="E29" s="46"/>
      <c r="F29" s="46"/>
      <c r="G29" s="37" t="str">
        <f t="shared" si="0"/>
        <v/>
      </c>
      <c r="H29" s="37" t="str">
        <f t="shared" si="2"/>
        <v/>
      </c>
      <c r="I29" s="59" t="str">
        <f t="shared" si="1"/>
        <v/>
      </c>
      <c r="J29" s="37" t="str">
        <f t="shared" si="3"/>
        <v/>
      </c>
    </row>
    <row r="30" spans="1:10" x14ac:dyDescent="0.25">
      <c r="A30" s="18">
        <v>24</v>
      </c>
      <c r="B30" s="18"/>
      <c r="C30" s="18"/>
      <c r="D30" s="46"/>
      <c r="E30" s="46"/>
      <c r="F30" s="46"/>
      <c r="G30" s="37" t="str">
        <f t="shared" si="0"/>
        <v/>
      </c>
      <c r="H30" s="37" t="str">
        <f t="shared" si="2"/>
        <v/>
      </c>
      <c r="I30" s="59" t="str">
        <f t="shared" si="1"/>
        <v/>
      </c>
      <c r="J30" s="37" t="str">
        <f t="shared" si="3"/>
        <v/>
      </c>
    </row>
    <row r="31" spans="1:10" x14ac:dyDescent="0.25">
      <c r="A31" s="18">
        <v>25</v>
      </c>
      <c r="B31" s="18"/>
      <c r="C31" s="18"/>
      <c r="D31" s="46"/>
      <c r="E31" s="46"/>
      <c r="F31" s="46"/>
      <c r="G31" s="37" t="str">
        <f t="shared" si="0"/>
        <v/>
      </c>
      <c r="H31" s="37" t="str">
        <f t="shared" si="2"/>
        <v/>
      </c>
      <c r="I31" s="59" t="str">
        <f t="shared" si="1"/>
        <v/>
      </c>
      <c r="J31" s="37" t="str">
        <f t="shared" si="3"/>
        <v/>
      </c>
    </row>
    <row r="32" spans="1:10" x14ac:dyDescent="0.25">
      <c r="A32" s="18">
        <v>26</v>
      </c>
      <c r="B32" s="18"/>
      <c r="C32" s="18"/>
      <c r="D32" s="46"/>
      <c r="E32" s="46"/>
      <c r="F32" s="46"/>
      <c r="G32" s="37" t="str">
        <f t="shared" si="0"/>
        <v/>
      </c>
      <c r="H32" s="37" t="str">
        <f t="shared" si="2"/>
        <v/>
      </c>
      <c r="I32" s="59" t="str">
        <f t="shared" si="1"/>
        <v/>
      </c>
      <c r="J32" s="37" t="str">
        <f t="shared" si="3"/>
        <v/>
      </c>
    </row>
    <row r="33" spans="1:10" x14ac:dyDescent="0.25">
      <c r="A33" s="18">
        <v>27</v>
      </c>
      <c r="B33" s="18"/>
      <c r="C33" s="18"/>
      <c r="D33" s="46"/>
      <c r="E33" s="46"/>
      <c r="F33" s="46"/>
      <c r="G33" s="37" t="str">
        <f t="shared" si="0"/>
        <v/>
      </c>
      <c r="H33" s="37" t="str">
        <f t="shared" si="2"/>
        <v/>
      </c>
      <c r="I33" s="59" t="str">
        <f t="shared" si="1"/>
        <v/>
      </c>
      <c r="J33" s="37" t="str">
        <f t="shared" si="3"/>
        <v/>
      </c>
    </row>
    <row r="34" spans="1:10" x14ac:dyDescent="0.25">
      <c r="A34" s="18">
        <v>28</v>
      </c>
      <c r="B34" s="18"/>
      <c r="C34" s="18"/>
      <c r="D34" s="46"/>
      <c r="E34" s="46"/>
      <c r="F34" s="46"/>
      <c r="G34" s="37" t="str">
        <f t="shared" si="0"/>
        <v/>
      </c>
      <c r="H34" s="37" t="str">
        <f t="shared" si="2"/>
        <v/>
      </c>
      <c r="I34" s="59" t="str">
        <f t="shared" si="1"/>
        <v/>
      </c>
      <c r="J34" s="37" t="str">
        <f t="shared" si="3"/>
        <v/>
      </c>
    </row>
    <row r="35" spans="1:10" x14ac:dyDescent="0.25">
      <c r="A35" s="18">
        <v>29</v>
      </c>
      <c r="B35" s="18"/>
      <c r="C35" s="18"/>
      <c r="D35" s="46"/>
      <c r="E35" s="46"/>
      <c r="F35" s="46"/>
      <c r="G35" s="37" t="str">
        <f t="shared" si="0"/>
        <v/>
      </c>
      <c r="H35" s="37" t="str">
        <f t="shared" si="2"/>
        <v/>
      </c>
      <c r="I35" s="59" t="str">
        <f t="shared" si="1"/>
        <v/>
      </c>
      <c r="J35" s="37" t="str">
        <f t="shared" si="3"/>
        <v/>
      </c>
    </row>
    <row r="36" spans="1:10" x14ac:dyDescent="0.25">
      <c r="A36" s="18">
        <v>30</v>
      </c>
      <c r="B36" s="18"/>
      <c r="C36" s="18"/>
      <c r="D36" s="46"/>
      <c r="E36" s="46"/>
      <c r="F36" s="46"/>
      <c r="G36" s="37" t="str">
        <f t="shared" si="0"/>
        <v/>
      </c>
      <c r="H36" s="37" t="str">
        <f t="shared" si="2"/>
        <v/>
      </c>
      <c r="I36" s="59" t="str">
        <f t="shared" si="1"/>
        <v/>
      </c>
      <c r="J36" s="37" t="str">
        <f t="shared" si="3"/>
        <v/>
      </c>
    </row>
    <row r="37" spans="1:10" x14ac:dyDescent="0.25">
      <c r="A37" s="18">
        <v>31</v>
      </c>
      <c r="B37" s="18"/>
      <c r="C37" s="18"/>
      <c r="D37" s="46"/>
      <c r="E37" s="46"/>
      <c r="F37" s="46"/>
      <c r="G37" s="37" t="str">
        <f t="shared" si="0"/>
        <v/>
      </c>
      <c r="H37" s="37" t="str">
        <f t="shared" si="2"/>
        <v/>
      </c>
      <c r="I37" s="59" t="str">
        <f t="shared" si="1"/>
        <v/>
      </c>
      <c r="J37" s="37" t="str">
        <f t="shared" si="3"/>
        <v/>
      </c>
    </row>
    <row r="38" spans="1:10" x14ac:dyDescent="0.25">
      <c r="A38" s="18">
        <v>32</v>
      </c>
      <c r="B38" s="18"/>
      <c r="C38" s="18"/>
      <c r="D38" s="46"/>
      <c r="E38" s="46"/>
      <c r="F38" s="46"/>
      <c r="G38" s="37" t="str">
        <f t="shared" si="0"/>
        <v/>
      </c>
      <c r="H38" s="37" t="str">
        <f t="shared" si="2"/>
        <v/>
      </c>
      <c r="I38" s="59" t="str">
        <f t="shared" si="1"/>
        <v/>
      </c>
      <c r="J38" s="37" t="str">
        <f t="shared" si="3"/>
        <v/>
      </c>
    </row>
    <row r="39" spans="1:10" x14ac:dyDescent="0.25">
      <c r="A39" s="18">
        <v>33</v>
      </c>
      <c r="B39" s="18"/>
      <c r="C39" s="18"/>
      <c r="D39" s="46"/>
      <c r="E39" s="46"/>
      <c r="F39" s="46"/>
      <c r="G39" s="37" t="str">
        <f t="shared" ref="G39:G70" si="4">IF(OR(E39="",F39=""),"",E39-F39)</f>
        <v/>
      </c>
      <c r="H39" s="37" t="str">
        <f t="shared" si="2"/>
        <v/>
      </c>
      <c r="I39" s="59" t="str">
        <f t="shared" ref="I39:I70" si="5">IFERROR(IF(D39="","",-1*$J$4*(D39/$J$3)),"")</f>
        <v/>
      </c>
      <c r="J39" s="37" t="str">
        <f t="shared" si="3"/>
        <v/>
      </c>
    </row>
    <row r="40" spans="1:10" x14ac:dyDescent="0.25">
      <c r="A40" s="18">
        <v>34</v>
      </c>
      <c r="B40" s="18"/>
      <c r="C40" s="18"/>
      <c r="D40" s="46"/>
      <c r="E40" s="46"/>
      <c r="F40" s="46"/>
      <c r="G40" s="37" t="str">
        <f t="shared" si="4"/>
        <v/>
      </c>
      <c r="H40" s="37" t="str">
        <f t="shared" ref="H40:H71" si="6">IF(G40="","",IF(H39="",$D$4+G40,H39+G40))</f>
        <v/>
      </c>
      <c r="I40" s="59" t="str">
        <f t="shared" si="5"/>
        <v/>
      </c>
      <c r="J40" s="37" t="str">
        <f t="shared" ref="J40:J71" si="7">IFERROR(IF(H40="","",IF(J39="",$D$4+G40+I40,J39+G40+I40)),"")</f>
        <v/>
      </c>
    </row>
    <row r="41" spans="1:10" x14ac:dyDescent="0.25">
      <c r="A41" s="18">
        <v>35</v>
      </c>
      <c r="B41" s="18"/>
      <c r="C41" s="18"/>
      <c r="D41" s="46"/>
      <c r="E41" s="46"/>
      <c r="F41" s="46"/>
      <c r="G41" s="37" t="str">
        <f t="shared" si="4"/>
        <v/>
      </c>
      <c r="H41" s="37" t="str">
        <f t="shared" si="6"/>
        <v/>
      </c>
      <c r="I41" s="59" t="str">
        <f t="shared" si="5"/>
        <v/>
      </c>
      <c r="J41" s="37" t="str">
        <f t="shared" si="7"/>
        <v/>
      </c>
    </row>
    <row r="42" spans="1:10" x14ac:dyDescent="0.25">
      <c r="A42" s="18">
        <v>36</v>
      </c>
      <c r="B42" s="18"/>
      <c r="C42" s="18"/>
      <c r="D42" s="46"/>
      <c r="E42" s="46"/>
      <c r="F42" s="46"/>
      <c r="G42" s="37" t="str">
        <f t="shared" si="4"/>
        <v/>
      </c>
      <c r="H42" s="37" t="str">
        <f t="shared" si="6"/>
        <v/>
      </c>
      <c r="I42" s="59" t="str">
        <f t="shared" si="5"/>
        <v/>
      </c>
      <c r="J42" s="37" t="str">
        <f t="shared" si="7"/>
        <v/>
      </c>
    </row>
    <row r="43" spans="1:10" x14ac:dyDescent="0.25">
      <c r="A43" s="18">
        <v>37</v>
      </c>
      <c r="B43" s="18"/>
      <c r="C43" s="18"/>
      <c r="D43" s="46"/>
      <c r="E43" s="46"/>
      <c r="F43" s="46"/>
      <c r="G43" s="37" t="str">
        <f t="shared" si="4"/>
        <v/>
      </c>
      <c r="H43" s="37" t="str">
        <f t="shared" si="6"/>
        <v/>
      </c>
      <c r="I43" s="59" t="str">
        <f t="shared" si="5"/>
        <v/>
      </c>
      <c r="J43" s="37" t="str">
        <f t="shared" si="7"/>
        <v/>
      </c>
    </row>
    <row r="44" spans="1:10" x14ac:dyDescent="0.25">
      <c r="A44" s="18">
        <v>38</v>
      </c>
      <c r="B44" s="18"/>
      <c r="C44" s="18"/>
      <c r="D44" s="46"/>
      <c r="E44" s="46"/>
      <c r="F44" s="46"/>
      <c r="G44" s="37" t="str">
        <f t="shared" si="4"/>
        <v/>
      </c>
      <c r="H44" s="37" t="str">
        <f t="shared" si="6"/>
        <v/>
      </c>
      <c r="I44" s="59" t="str">
        <f t="shared" si="5"/>
        <v/>
      </c>
      <c r="J44" s="37" t="str">
        <f t="shared" si="7"/>
        <v/>
      </c>
    </row>
    <row r="45" spans="1:10" x14ac:dyDescent="0.25">
      <c r="A45" s="18">
        <v>39</v>
      </c>
      <c r="B45" s="18"/>
      <c r="C45" s="18"/>
      <c r="D45" s="46"/>
      <c r="E45" s="46"/>
      <c r="F45" s="46"/>
      <c r="G45" s="37" t="str">
        <f t="shared" si="4"/>
        <v/>
      </c>
      <c r="H45" s="37" t="str">
        <f t="shared" si="6"/>
        <v/>
      </c>
      <c r="I45" s="59" t="str">
        <f t="shared" si="5"/>
        <v/>
      </c>
      <c r="J45" s="37" t="str">
        <f t="shared" si="7"/>
        <v/>
      </c>
    </row>
    <row r="46" spans="1:10" x14ac:dyDescent="0.25">
      <c r="A46" s="18">
        <v>40</v>
      </c>
      <c r="B46" s="18"/>
      <c r="C46" s="18"/>
      <c r="D46" s="46"/>
      <c r="E46" s="46"/>
      <c r="F46" s="46"/>
      <c r="G46" s="37" t="str">
        <f t="shared" si="4"/>
        <v/>
      </c>
      <c r="H46" s="37" t="str">
        <f t="shared" si="6"/>
        <v/>
      </c>
      <c r="I46" s="59" t="str">
        <f t="shared" si="5"/>
        <v/>
      </c>
      <c r="J46" s="37" t="str">
        <f t="shared" si="7"/>
        <v/>
      </c>
    </row>
    <row r="47" spans="1:10" x14ac:dyDescent="0.25">
      <c r="A47" s="18">
        <v>41</v>
      </c>
      <c r="B47" s="18"/>
      <c r="C47" s="18"/>
      <c r="D47" s="46"/>
      <c r="E47" s="46"/>
      <c r="F47" s="46"/>
      <c r="G47" s="37" t="str">
        <f t="shared" si="4"/>
        <v/>
      </c>
      <c r="H47" s="37" t="str">
        <f t="shared" si="6"/>
        <v/>
      </c>
      <c r="I47" s="59" t="str">
        <f t="shared" si="5"/>
        <v/>
      </c>
      <c r="J47" s="37" t="str">
        <f t="shared" si="7"/>
        <v/>
      </c>
    </row>
    <row r="48" spans="1:10" x14ac:dyDescent="0.25">
      <c r="A48" s="18">
        <v>42</v>
      </c>
      <c r="B48" s="18"/>
      <c r="C48" s="18"/>
      <c r="D48" s="46"/>
      <c r="E48" s="46"/>
      <c r="F48" s="46"/>
      <c r="G48" s="37" t="str">
        <f t="shared" si="4"/>
        <v/>
      </c>
      <c r="H48" s="37" t="str">
        <f t="shared" si="6"/>
        <v/>
      </c>
      <c r="I48" s="59" t="str">
        <f t="shared" si="5"/>
        <v/>
      </c>
      <c r="J48" s="37" t="str">
        <f t="shared" si="7"/>
        <v/>
      </c>
    </row>
    <row r="49" spans="1:10" x14ac:dyDescent="0.25">
      <c r="A49" s="18">
        <v>43</v>
      </c>
      <c r="B49" s="18"/>
      <c r="C49" s="18"/>
      <c r="D49" s="46"/>
      <c r="E49" s="46"/>
      <c r="F49" s="46"/>
      <c r="G49" s="37" t="str">
        <f t="shared" si="4"/>
        <v/>
      </c>
      <c r="H49" s="37" t="str">
        <f t="shared" si="6"/>
        <v/>
      </c>
      <c r="I49" s="59" t="str">
        <f t="shared" si="5"/>
        <v/>
      </c>
      <c r="J49" s="37" t="str">
        <f t="shared" si="7"/>
        <v/>
      </c>
    </row>
    <row r="50" spans="1:10" x14ac:dyDescent="0.25">
      <c r="A50" s="18">
        <v>44</v>
      </c>
      <c r="B50" s="18"/>
      <c r="C50" s="18"/>
      <c r="D50" s="46"/>
      <c r="E50" s="46"/>
      <c r="F50" s="46"/>
      <c r="G50" s="37" t="str">
        <f t="shared" si="4"/>
        <v/>
      </c>
      <c r="H50" s="37" t="str">
        <f t="shared" si="6"/>
        <v/>
      </c>
      <c r="I50" s="59" t="str">
        <f t="shared" si="5"/>
        <v/>
      </c>
      <c r="J50" s="37" t="str">
        <f t="shared" si="7"/>
        <v/>
      </c>
    </row>
    <row r="51" spans="1:10" x14ac:dyDescent="0.25">
      <c r="A51" s="18">
        <v>45</v>
      </c>
      <c r="B51" s="18"/>
      <c r="C51" s="18"/>
      <c r="D51" s="46"/>
      <c r="E51" s="46"/>
      <c r="F51" s="46"/>
      <c r="G51" s="37" t="str">
        <f t="shared" si="4"/>
        <v/>
      </c>
      <c r="H51" s="37" t="str">
        <f t="shared" si="6"/>
        <v/>
      </c>
      <c r="I51" s="59" t="str">
        <f t="shared" si="5"/>
        <v/>
      </c>
      <c r="J51" s="37" t="str">
        <f t="shared" si="7"/>
        <v/>
      </c>
    </row>
    <row r="52" spans="1:10" x14ac:dyDescent="0.25">
      <c r="A52" s="18">
        <v>46</v>
      </c>
      <c r="B52" s="18"/>
      <c r="C52" s="18"/>
      <c r="D52" s="46"/>
      <c r="E52" s="46"/>
      <c r="F52" s="46"/>
      <c r="G52" s="37" t="str">
        <f t="shared" si="4"/>
        <v/>
      </c>
      <c r="H52" s="37" t="str">
        <f t="shared" si="6"/>
        <v/>
      </c>
      <c r="I52" s="59" t="str">
        <f t="shared" si="5"/>
        <v/>
      </c>
      <c r="J52" s="37" t="str">
        <f t="shared" si="7"/>
        <v/>
      </c>
    </row>
    <row r="53" spans="1:10" x14ac:dyDescent="0.25">
      <c r="A53" s="18">
        <v>47</v>
      </c>
      <c r="B53" s="18"/>
      <c r="C53" s="18"/>
      <c r="D53" s="46"/>
      <c r="E53" s="46"/>
      <c r="F53" s="46"/>
      <c r="G53" s="37" t="str">
        <f t="shared" si="4"/>
        <v/>
      </c>
      <c r="H53" s="37" t="str">
        <f t="shared" si="6"/>
        <v/>
      </c>
      <c r="I53" s="59" t="str">
        <f t="shared" si="5"/>
        <v/>
      </c>
      <c r="J53" s="37" t="str">
        <f t="shared" si="7"/>
        <v/>
      </c>
    </row>
    <row r="54" spans="1:10" x14ac:dyDescent="0.25">
      <c r="A54" s="18">
        <v>48</v>
      </c>
      <c r="B54" s="18"/>
      <c r="C54" s="18"/>
      <c r="D54" s="46"/>
      <c r="E54" s="46"/>
      <c r="F54" s="46"/>
      <c r="G54" s="37" t="str">
        <f t="shared" si="4"/>
        <v/>
      </c>
      <c r="H54" s="37" t="str">
        <f t="shared" si="6"/>
        <v/>
      </c>
      <c r="I54" s="59" t="str">
        <f t="shared" si="5"/>
        <v/>
      </c>
      <c r="J54" s="37" t="str">
        <f t="shared" si="7"/>
        <v/>
      </c>
    </row>
    <row r="55" spans="1:10" x14ac:dyDescent="0.25">
      <c r="A55" s="18">
        <v>49</v>
      </c>
      <c r="B55" s="18"/>
      <c r="C55" s="18"/>
      <c r="D55" s="46"/>
      <c r="E55" s="46"/>
      <c r="F55" s="46"/>
      <c r="G55" s="37" t="str">
        <f t="shared" si="4"/>
        <v/>
      </c>
      <c r="H55" s="37" t="str">
        <f t="shared" si="6"/>
        <v/>
      </c>
      <c r="I55" s="59" t="str">
        <f t="shared" si="5"/>
        <v/>
      </c>
      <c r="J55" s="37" t="str">
        <f t="shared" si="7"/>
        <v/>
      </c>
    </row>
    <row r="56" spans="1:10" x14ac:dyDescent="0.25">
      <c r="A56" s="18">
        <v>50</v>
      </c>
      <c r="B56" s="18"/>
      <c r="C56" s="18"/>
      <c r="D56" s="46"/>
      <c r="E56" s="46"/>
      <c r="F56" s="46"/>
      <c r="G56" s="37" t="str">
        <f t="shared" si="4"/>
        <v/>
      </c>
      <c r="H56" s="37" t="str">
        <f t="shared" si="6"/>
        <v/>
      </c>
      <c r="I56" s="59" t="str">
        <f t="shared" si="5"/>
        <v/>
      </c>
      <c r="J56" s="37" t="str">
        <f t="shared" si="7"/>
        <v/>
      </c>
    </row>
    <row r="57" spans="1:10" x14ac:dyDescent="0.25">
      <c r="A57" s="18">
        <v>51</v>
      </c>
      <c r="B57" s="18"/>
      <c r="C57" s="18"/>
      <c r="D57" s="46"/>
      <c r="E57" s="46"/>
      <c r="F57" s="46"/>
      <c r="G57" s="37" t="str">
        <f t="shared" si="4"/>
        <v/>
      </c>
      <c r="H57" s="37" t="str">
        <f t="shared" si="6"/>
        <v/>
      </c>
      <c r="I57" s="59" t="str">
        <f t="shared" si="5"/>
        <v/>
      </c>
      <c r="J57" s="37" t="str">
        <f t="shared" si="7"/>
        <v/>
      </c>
    </row>
    <row r="58" spans="1:10" x14ac:dyDescent="0.25">
      <c r="A58" s="18">
        <v>52</v>
      </c>
      <c r="B58" s="18"/>
      <c r="C58" s="18"/>
      <c r="D58" s="46"/>
      <c r="E58" s="46"/>
      <c r="F58" s="46"/>
      <c r="G58" s="37" t="str">
        <f t="shared" si="4"/>
        <v/>
      </c>
      <c r="H58" s="37" t="str">
        <f t="shared" si="6"/>
        <v/>
      </c>
      <c r="I58" s="59" t="str">
        <f t="shared" si="5"/>
        <v/>
      </c>
      <c r="J58" s="37" t="str">
        <f t="shared" si="7"/>
        <v/>
      </c>
    </row>
    <row r="59" spans="1:10" x14ac:dyDescent="0.25">
      <c r="A59" s="18">
        <v>53</v>
      </c>
      <c r="B59" s="18"/>
      <c r="C59" s="18"/>
      <c r="D59" s="46"/>
      <c r="E59" s="46"/>
      <c r="F59" s="46"/>
      <c r="G59" s="37" t="str">
        <f t="shared" si="4"/>
        <v/>
      </c>
      <c r="H59" s="37" t="str">
        <f t="shared" si="6"/>
        <v/>
      </c>
      <c r="I59" s="59" t="str">
        <f t="shared" si="5"/>
        <v/>
      </c>
      <c r="J59" s="37" t="str">
        <f t="shared" si="7"/>
        <v/>
      </c>
    </row>
    <row r="60" spans="1:10" x14ac:dyDescent="0.25">
      <c r="A60" s="18">
        <v>54</v>
      </c>
      <c r="B60" s="18"/>
      <c r="C60" s="18"/>
      <c r="D60" s="46"/>
      <c r="E60" s="46"/>
      <c r="F60" s="46"/>
      <c r="G60" s="37" t="str">
        <f t="shared" si="4"/>
        <v/>
      </c>
      <c r="H60" s="37" t="str">
        <f t="shared" si="6"/>
        <v/>
      </c>
      <c r="I60" s="59" t="str">
        <f t="shared" si="5"/>
        <v/>
      </c>
      <c r="J60" s="37" t="str">
        <f t="shared" si="7"/>
        <v/>
      </c>
    </row>
    <row r="61" spans="1:10" x14ac:dyDescent="0.25">
      <c r="A61" s="18">
        <v>55</v>
      </c>
      <c r="B61" s="18"/>
      <c r="C61" s="18"/>
      <c r="D61" s="46"/>
      <c r="E61" s="46"/>
      <c r="F61" s="46"/>
      <c r="G61" s="37" t="str">
        <f t="shared" si="4"/>
        <v/>
      </c>
      <c r="H61" s="37" t="str">
        <f t="shared" si="6"/>
        <v/>
      </c>
      <c r="I61" s="59" t="str">
        <f t="shared" si="5"/>
        <v/>
      </c>
      <c r="J61" s="37" t="str">
        <f t="shared" si="7"/>
        <v/>
      </c>
    </row>
    <row r="62" spans="1:10" x14ac:dyDescent="0.25">
      <c r="A62" s="18">
        <v>56</v>
      </c>
      <c r="B62" s="18"/>
      <c r="C62" s="18"/>
      <c r="D62" s="46"/>
      <c r="E62" s="46"/>
      <c r="F62" s="46"/>
      <c r="G62" s="37" t="str">
        <f t="shared" si="4"/>
        <v/>
      </c>
      <c r="H62" s="37" t="str">
        <f t="shared" si="6"/>
        <v/>
      </c>
      <c r="I62" s="59" t="str">
        <f t="shared" si="5"/>
        <v/>
      </c>
      <c r="J62" s="37" t="str">
        <f t="shared" si="7"/>
        <v/>
      </c>
    </row>
    <row r="63" spans="1:10" x14ac:dyDescent="0.25">
      <c r="A63" s="18">
        <v>57</v>
      </c>
      <c r="B63" s="18"/>
      <c r="C63" s="18"/>
      <c r="D63" s="46"/>
      <c r="E63" s="46"/>
      <c r="F63" s="46"/>
      <c r="G63" s="37" t="str">
        <f t="shared" si="4"/>
        <v/>
      </c>
      <c r="H63" s="37" t="str">
        <f t="shared" si="6"/>
        <v/>
      </c>
      <c r="I63" s="59" t="str">
        <f t="shared" si="5"/>
        <v/>
      </c>
      <c r="J63" s="37" t="str">
        <f t="shared" si="7"/>
        <v/>
      </c>
    </row>
    <row r="64" spans="1:10" x14ac:dyDescent="0.25">
      <c r="A64" s="18">
        <v>58</v>
      </c>
      <c r="B64" s="18"/>
      <c r="C64" s="18"/>
      <c r="D64" s="46"/>
      <c r="E64" s="46"/>
      <c r="F64" s="46"/>
      <c r="G64" s="37" t="str">
        <f t="shared" si="4"/>
        <v/>
      </c>
      <c r="H64" s="37" t="str">
        <f t="shared" si="6"/>
        <v/>
      </c>
      <c r="I64" s="59" t="str">
        <f t="shared" si="5"/>
        <v/>
      </c>
      <c r="J64" s="37" t="str">
        <f t="shared" si="7"/>
        <v/>
      </c>
    </row>
    <row r="65" spans="1:10" x14ac:dyDescent="0.25">
      <c r="A65" s="18">
        <v>59</v>
      </c>
      <c r="B65" s="18"/>
      <c r="C65" s="18"/>
      <c r="D65" s="46"/>
      <c r="E65" s="46"/>
      <c r="F65" s="46"/>
      <c r="G65" s="37" t="str">
        <f t="shared" si="4"/>
        <v/>
      </c>
      <c r="H65" s="37" t="str">
        <f t="shared" si="6"/>
        <v/>
      </c>
      <c r="I65" s="59" t="str">
        <f t="shared" si="5"/>
        <v/>
      </c>
      <c r="J65" s="37" t="str">
        <f t="shared" si="7"/>
        <v/>
      </c>
    </row>
    <row r="66" spans="1:10" x14ac:dyDescent="0.25">
      <c r="A66" s="18">
        <v>60</v>
      </c>
      <c r="B66" s="18"/>
      <c r="C66" s="18"/>
      <c r="D66" s="46"/>
      <c r="E66" s="46"/>
      <c r="F66" s="46"/>
      <c r="G66" s="37" t="str">
        <f t="shared" si="4"/>
        <v/>
      </c>
      <c r="H66" s="37" t="str">
        <f t="shared" si="6"/>
        <v/>
      </c>
      <c r="I66" s="59" t="str">
        <f t="shared" si="5"/>
        <v/>
      </c>
      <c r="J66" s="37" t="str">
        <f t="shared" si="7"/>
        <v/>
      </c>
    </row>
    <row r="67" spans="1:10" x14ac:dyDescent="0.25">
      <c r="A67" s="18">
        <v>61</v>
      </c>
      <c r="B67" s="18"/>
      <c r="C67" s="18"/>
      <c r="D67" s="46"/>
      <c r="E67" s="46"/>
      <c r="F67" s="46"/>
      <c r="G67" s="37" t="str">
        <f t="shared" si="4"/>
        <v/>
      </c>
      <c r="H67" s="37" t="str">
        <f t="shared" si="6"/>
        <v/>
      </c>
      <c r="I67" s="59" t="str">
        <f t="shared" si="5"/>
        <v/>
      </c>
      <c r="J67" s="37" t="str">
        <f t="shared" si="7"/>
        <v/>
      </c>
    </row>
    <row r="68" spans="1:10" x14ac:dyDescent="0.25">
      <c r="A68" s="18">
        <v>62</v>
      </c>
      <c r="B68" s="18"/>
      <c r="C68" s="18"/>
      <c r="D68" s="46"/>
      <c r="E68" s="46"/>
      <c r="F68" s="46"/>
      <c r="G68" s="37" t="str">
        <f t="shared" si="4"/>
        <v/>
      </c>
      <c r="H68" s="37" t="str">
        <f t="shared" si="6"/>
        <v/>
      </c>
      <c r="I68" s="59" t="str">
        <f t="shared" si="5"/>
        <v/>
      </c>
      <c r="J68" s="37" t="str">
        <f t="shared" si="7"/>
        <v/>
      </c>
    </row>
    <row r="69" spans="1:10" x14ac:dyDescent="0.25">
      <c r="A69" s="18">
        <v>63</v>
      </c>
      <c r="B69" s="18"/>
      <c r="C69" s="18"/>
      <c r="D69" s="46"/>
      <c r="E69" s="46"/>
      <c r="F69" s="46"/>
      <c r="G69" s="37" t="str">
        <f t="shared" si="4"/>
        <v/>
      </c>
      <c r="H69" s="37" t="str">
        <f t="shared" si="6"/>
        <v/>
      </c>
      <c r="I69" s="59" t="str">
        <f t="shared" si="5"/>
        <v/>
      </c>
      <c r="J69" s="37" t="str">
        <f t="shared" si="7"/>
        <v/>
      </c>
    </row>
    <row r="70" spans="1:10" x14ac:dyDescent="0.25">
      <c r="A70" s="18">
        <v>64</v>
      </c>
      <c r="B70" s="18"/>
      <c r="C70" s="18"/>
      <c r="D70" s="46"/>
      <c r="E70" s="46"/>
      <c r="F70" s="46"/>
      <c r="G70" s="37" t="str">
        <f t="shared" si="4"/>
        <v/>
      </c>
      <c r="H70" s="37" t="str">
        <f t="shared" si="6"/>
        <v/>
      </c>
      <c r="I70" s="59" t="str">
        <f t="shared" si="5"/>
        <v/>
      </c>
      <c r="J70" s="37" t="str">
        <f t="shared" si="7"/>
        <v/>
      </c>
    </row>
    <row r="71" spans="1:10" x14ac:dyDescent="0.25">
      <c r="A71" s="18">
        <v>65</v>
      </c>
      <c r="B71" s="18"/>
      <c r="C71" s="18"/>
      <c r="D71" s="46"/>
      <c r="E71" s="46"/>
      <c r="F71" s="46"/>
      <c r="G71" s="37" t="str">
        <f t="shared" ref="G71:G102" si="8">IF(OR(E71="",F71=""),"",E71-F71)</f>
        <v/>
      </c>
      <c r="H71" s="37" t="str">
        <f t="shared" si="6"/>
        <v/>
      </c>
      <c r="I71" s="59" t="str">
        <f t="shared" ref="I71:I86" si="9">IFERROR(IF(D71="","",-1*$J$4*(D71/$J$3)),"")</f>
        <v/>
      </c>
      <c r="J71" s="37" t="str">
        <f t="shared" si="7"/>
        <v/>
      </c>
    </row>
    <row r="72" spans="1:10" x14ac:dyDescent="0.25">
      <c r="A72" s="18">
        <v>66</v>
      </c>
      <c r="B72" s="18"/>
      <c r="C72" s="18"/>
      <c r="D72" s="46"/>
      <c r="E72" s="46"/>
      <c r="F72" s="46"/>
      <c r="G72" s="37" t="str">
        <f t="shared" si="8"/>
        <v/>
      </c>
      <c r="H72" s="37" t="str">
        <f t="shared" ref="H72:H103" si="10">IF(G72="","",IF(H71="",$D$4+G72,H71+G72))</f>
        <v/>
      </c>
      <c r="I72" s="59" t="str">
        <f t="shared" si="9"/>
        <v/>
      </c>
      <c r="J72" s="37" t="str">
        <f t="shared" ref="J72:J103" si="11">IFERROR(IF(H72="","",IF(J71="",$D$4+G72+I72,J71+G72+I72)),"")</f>
        <v/>
      </c>
    </row>
    <row r="73" spans="1:10" x14ac:dyDescent="0.25">
      <c r="A73" s="18">
        <v>67</v>
      </c>
      <c r="B73" s="18"/>
      <c r="C73" s="18"/>
      <c r="D73" s="46"/>
      <c r="E73" s="46"/>
      <c r="F73" s="46"/>
      <c r="G73" s="37" t="str">
        <f t="shared" si="8"/>
        <v/>
      </c>
      <c r="H73" s="37" t="str">
        <f t="shared" si="10"/>
        <v/>
      </c>
      <c r="I73" s="59" t="str">
        <f t="shared" si="9"/>
        <v/>
      </c>
      <c r="J73" s="37" t="str">
        <f t="shared" si="11"/>
        <v/>
      </c>
    </row>
    <row r="74" spans="1:10" x14ac:dyDescent="0.25">
      <c r="A74" s="18">
        <v>68</v>
      </c>
      <c r="B74" s="18"/>
      <c r="C74" s="18"/>
      <c r="D74" s="46"/>
      <c r="E74" s="46"/>
      <c r="F74" s="46"/>
      <c r="G74" s="37" t="str">
        <f t="shared" si="8"/>
        <v/>
      </c>
      <c r="H74" s="37" t="str">
        <f t="shared" si="10"/>
        <v/>
      </c>
      <c r="I74" s="59" t="str">
        <f t="shared" si="9"/>
        <v/>
      </c>
      <c r="J74" s="37" t="str">
        <f t="shared" si="11"/>
        <v/>
      </c>
    </row>
    <row r="75" spans="1:10" x14ac:dyDescent="0.25">
      <c r="A75" s="18">
        <v>69</v>
      </c>
      <c r="B75" s="18"/>
      <c r="C75" s="18"/>
      <c r="D75" s="46"/>
      <c r="E75" s="46"/>
      <c r="F75" s="46"/>
      <c r="G75" s="37" t="str">
        <f t="shared" si="8"/>
        <v/>
      </c>
      <c r="H75" s="37" t="str">
        <f t="shared" si="10"/>
        <v/>
      </c>
      <c r="I75" s="59" t="str">
        <f t="shared" si="9"/>
        <v/>
      </c>
      <c r="J75" s="37" t="str">
        <f t="shared" si="11"/>
        <v/>
      </c>
    </row>
    <row r="76" spans="1:10" x14ac:dyDescent="0.25">
      <c r="A76" s="18">
        <v>70</v>
      </c>
      <c r="B76" s="18"/>
      <c r="C76" s="18"/>
      <c r="D76" s="46"/>
      <c r="E76" s="46"/>
      <c r="F76" s="46"/>
      <c r="G76" s="37" t="str">
        <f t="shared" si="8"/>
        <v/>
      </c>
      <c r="H76" s="37" t="str">
        <f t="shared" si="10"/>
        <v/>
      </c>
      <c r="I76" s="59" t="str">
        <f t="shared" si="9"/>
        <v/>
      </c>
      <c r="J76" s="37" t="str">
        <f t="shared" si="11"/>
        <v/>
      </c>
    </row>
    <row r="77" spans="1:10" x14ac:dyDescent="0.25">
      <c r="A77" s="18">
        <v>71</v>
      </c>
      <c r="B77" s="18"/>
      <c r="C77" s="18"/>
      <c r="D77" s="46"/>
      <c r="E77" s="46"/>
      <c r="F77" s="46"/>
      <c r="G77" s="37" t="str">
        <f t="shared" si="8"/>
        <v/>
      </c>
      <c r="H77" s="37" t="str">
        <f t="shared" si="10"/>
        <v/>
      </c>
      <c r="I77" s="59" t="str">
        <f t="shared" si="9"/>
        <v/>
      </c>
      <c r="J77" s="37" t="str">
        <f t="shared" si="11"/>
        <v/>
      </c>
    </row>
    <row r="78" spans="1:10" x14ac:dyDescent="0.25">
      <c r="A78" s="18">
        <v>72</v>
      </c>
      <c r="B78" s="18"/>
      <c r="C78" s="18"/>
      <c r="D78" s="46"/>
      <c r="E78" s="46"/>
      <c r="F78" s="46"/>
      <c r="G78" s="37" t="str">
        <f t="shared" si="8"/>
        <v/>
      </c>
      <c r="H78" s="37" t="str">
        <f t="shared" si="10"/>
        <v/>
      </c>
      <c r="I78" s="59" t="str">
        <f t="shared" si="9"/>
        <v/>
      </c>
      <c r="J78" s="37" t="str">
        <f t="shared" si="11"/>
        <v/>
      </c>
    </row>
    <row r="79" spans="1:10" x14ac:dyDescent="0.25">
      <c r="A79" s="18">
        <v>73</v>
      </c>
      <c r="B79" s="18"/>
      <c r="C79" s="18"/>
      <c r="D79" s="46"/>
      <c r="E79" s="46"/>
      <c r="F79" s="46"/>
      <c r="G79" s="37" t="str">
        <f t="shared" si="8"/>
        <v/>
      </c>
      <c r="H79" s="37" t="str">
        <f t="shared" si="10"/>
        <v/>
      </c>
      <c r="I79" s="59" t="str">
        <f t="shared" si="9"/>
        <v/>
      </c>
      <c r="J79" s="37" t="str">
        <f t="shared" si="11"/>
        <v/>
      </c>
    </row>
    <row r="80" spans="1:10" x14ac:dyDescent="0.25">
      <c r="A80" s="18">
        <v>74</v>
      </c>
      <c r="B80" s="18"/>
      <c r="C80" s="18"/>
      <c r="D80" s="46"/>
      <c r="E80" s="46"/>
      <c r="F80" s="46"/>
      <c r="G80" s="37" t="str">
        <f t="shared" si="8"/>
        <v/>
      </c>
      <c r="H80" s="37" t="str">
        <f t="shared" si="10"/>
        <v/>
      </c>
      <c r="I80" s="59" t="str">
        <f t="shared" si="9"/>
        <v/>
      </c>
      <c r="J80" s="37" t="str">
        <f t="shared" si="11"/>
        <v/>
      </c>
    </row>
    <row r="81" spans="1:10" x14ac:dyDescent="0.25">
      <c r="A81" s="18">
        <v>75</v>
      </c>
      <c r="B81" s="18"/>
      <c r="C81" s="18"/>
      <c r="D81" s="46"/>
      <c r="E81" s="46"/>
      <c r="F81" s="46"/>
      <c r="G81" s="37" t="str">
        <f t="shared" si="8"/>
        <v/>
      </c>
      <c r="H81" s="37" t="str">
        <f t="shared" si="10"/>
        <v/>
      </c>
      <c r="I81" s="59" t="str">
        <f t="shared" si="9"/>
        <v/>
      </c>
      <c r="J81" s="37" t="str">
        <f t="shared" si="11"/>
        <v/>
      </c>
    </row>
    <row r="82" spans="1:10" x14ac:dyDescent="0.25">
      <c r="A82" s="18">
        <v>76</v>
      </c>
      <c r="B82" s="18"/>
      <c r="C82" s="18"/>
      <c r="D82" s="46"/>
      <c r="E82" s="46"/>
      <c r="F82" s="46"/>
      <c r="G82" s="37" t="str">
        <f t="shared" si="8"/>
        <v/>
      </c>
      <c r="H82" s="37" t="str">
        <f t="shared" si="10"/>
        <v/>
      </c>
      <c r="I82" s="59" t="str">
        <f t="shared" si="9"/>
        <v/>
      </c>
      <c r="J82" s="37" t="str">
        <f t="shared" si="11"/>
        <v/>
      </c>
    </row>
    <row r="83" spans="1:10" x14ac:dyDescent="0.25">
      <c r="A83" s="18">
        <v>77</v>
      </c>
      <c r="B83" s="18"/>
      <c r="C83" s="18"/>
      <c r="D83" s="46"/>
      <c r="E83" s="46"/>
      <c r="F83" s="46"/>
      <c r="G83" s="37" t="str">
        <f t="shared" si="8"/>
        <v/>
      </c>
      <c r="H83" s="37" t="str">
        <f t="shared" si="10"/>
        <v/>
      </c>
      <c r="I83" s="59" t="str">
        <f t="shared" si="9"/>
        <v/>
      </c>
      <c r="J83" s="37" t="str">
        <f t="shared" si="11"/>
        <v/>
      </c>
    </row>
    <row r="84" spans="1:10" x14ac:dyDescent="0.25">
      <c r="A84" s="18">
        <v>78</v>
      </c>
      <c r="B84" s="18"/>
      <c r="C84" s="18"/>
      <c r="D84" s="46"/>
      <c r="E84" s="46"/>
      <c r="F84" s="46"/>
      <c r="G84" s="37" t="str">
        <f t="shared" si="8"/>
        <v/>
      </c>
      <c r="H84" s="37" t="str">
        <f t="shared" si="10"/>
        <v/>
      </c>
      <c r="I84" s="59" t="str">
        <f t="shared" si="9"/>
        <v/>
      </c>
      <c r="J84" s="37" t="str">
        <f t="shared" si="11"/>
        <v/>
      </c>
    </row>
    <row r="85" spans="1:10" x14ac:dyDescent="0.25">
      <c r="A85" s="18">
        <v>79</v>
      </c>
      <c r="B85" s="18"/>
      <c r="C85" s="18"/>
      <c r="D85" s="46"/>
      <c r="E85" s="46"/>
      <c r="F85" s="46"/>
      <c r="G85" s="37" t="str">
        <f t="shared" si="8"/>
        <v/>
      </c>
      <c r="H85" s="37" t="str">
        <f t="shared" si="10"/>
        <v/>
      </c>
      <c r="I85" s="59" t="str">
        <f t="shared" si="9"/>
        <v/>
      </c>
      <c r="J85" s="37" t="str">
        <f t="shared" si="11"/>
        <v/>
      </c>
    </row>
    <row r="86" spans="1:10" x14ac:dyDescent="0.25">
      <c r="A86" s="18">
        <v>80</v>
      </c>
      <c r="B86" s="18"/>
      <c r="C86" s="18"/>
      <c r="D86" s="46"/>
      <c r="E86" s="46"/>
      <c r="F86" s="46"/>
      <c r="G86" s="37" t="str">
        <f t="shared" si="8"/>
        <v/>
      </c>
      <c r="H86" s="37" t="str">
        <f t="shared" si="10"/>
        <v/>
      </c>
      <c r="I86" s="59" t="str">
        <f t="shared" si="9"/>
        <v/>
      </c>
      <c r="J86" s="37" t="str">
        <f t="shared" si="11"/>
        <v/>
      </c>
    </row>
  </sheetData>
  <sheetProtection algorithmName="SHA-512" hashValue="qgpWODIakPl1thJpAM+siRL41adRIkxTSJw0LWSsbfKLr1UTL7DE9tMdmVuBdMmrMEyErTmbneB9dTmDH4l3tw==" saltValue="TVfJm9vIWSWGmtc1DZJs0Q==" spinCount="100000" sheet="1" objects="1" scenarios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>
      <pane xSplit="2" ySplit="4" topLeftCell="C146" activePane="bottomRight" state="frozen"/>
      <selection pane="topRight"/>
      <selection pane="bottomLeft"/>
      <selection pane="bottomRight" activeCell="H31" sqref="H31"/>
    </sheetView>
  </sheetViews>
  <sheetFormatPr baseColWidth="10" defaultColWidth="9.140625" defaultRowHeight="15" x14ac:dyDescent="0.25"/>
  <cols>
    <col min="1" max="1" width="6" customWidth="1"/>
    <col min="2" max="5" width="14" customWidth="1"/>
    <col min="6" max="6" width="12" customWidth="1"/>
    <col min="7" max="7" width="14" customWidth="1"/>
    <col min="8" max="8" width="30" customWidth="1"/>
  </cols>
  <sheetData>
    <row r="1" spans="1:8" x14ac:dyDescent="0.25">
      <c r="A1" s="6" t="s">
        <v>98</v>
      </c>
      <c r="B1" s="5"/>
      <c r="C1" s="5"/>
      <c r="D1" s="5"/>
      <c r="E1" s="5"/>
      <c r="F1" s="5"/>
      <c r="G1" s="5"/>
      <c r="H1" s="5"/>
    </row>
    <row r="2" spans="1:8" x14ac:dyDescent="0.25">
      <c r="A2" s="7" t="s">
        <v>99</v>
      </c>
      <c r="B2" s="5"/>
      <c r="C2" s="5"/>
      <c r="D2" s="5"/>
      <c r="E2" s="5"/>
      <c r="F2" s="5"/>
      <c r="G2" s="5"/>
      <c r="H2" s="5"/>
    </row>
    <row r="4" spans="1:8" ht="30" customHeight="1" x14ac:dyDescent="0.25">
      <c r="A4" s="1" t="s">
        <v>39</v>
      </c>
      <c r="B4" s="1" t="s">
        <v>20</v>
      </c>
      <c r="C4" s="1" t="s">
        <v>100</v>
      </c>
      <c r="D4" s="1" t="s">
        <v>101</v>
      </c>
      <c r="E4" s="1" t="s">
        <v>102</v>
      </c>
      <c r="F4" s="1" t="s">
        <v>49</v>
      </c>
      <c r="G4" s="1" t="s">
        <v>103</v>
      </c>
      <c r="H4" s="1" t="s">
        <v>51</v>
      </c>
    </row>
    <row r="5" spans="1:8" x14ac:dyDescent="0.25">
      <c r="A5" s="3">
        <v>1</v>
      </c>
      <c r="B5" s="3" t="str">
        <f>IF('ET - Rectangular (PNEZD)'!B7="","",'ET - Rectangular (PNEZD)'!B7)</f>
        <v/>
      </c>
      <c r="C5" s="4" t="str">
        <f>IF('ET - Rectangular (PNEZD)'!C7="","",'ET - Rectangular (PNEZD)'!C7)</f>
        <v/>
      </c>
      <c r="D5" s="4" t="str">
        <f>IF('ET - Rectangular (PNEZD)'!D7="","",'ET - Rectangular (PNEZD)'!D7)</f>
        <v/>
      </c>
      <c r="E5" s="4" t="str">
        <f>IF('ET - Rectangular (PNEZD)'!E7="","",'ET - Rectangular (PNEZD)'!E7)</f>
        <v/>
      </c>
      <c r="F5" s="3" t="str">
        <f>IF('ET - Rectangular (PNEZD)'!F7="","",'ET - Rectangular (PNEZD)'!F7)</f>
        <v/>
      </c>
      <c r="G5" s="3" t="str">
        <f t="shared" ref="G5:G36" si="0">IF(B5="","","ET Rect.")</f>
        <v/>
      </c>
      <c r="H5" s="2" t="str">
        <f>IF('ET - Rectangular (PNEZD)'!H7="","",'ET - Rectangular (PNEZD)'!H7)</f>
        <v/>
      </c>
    </row>
    <row r="6" spans="1:8" x14ac:dyDescent="0.25">
      <c r="A6" s="3">
        <v>2</v>
      </c>
      <c r="B6" s="3" t="str">
        <f>IF('ET - Rectangular (PNEZD)'!B8="","",'ET - Rectangular (PNEZD)'!B8)</f>
        <v/>
      </c>
      <c r="C6" s="4" t="str">
        <f>IF('ET - Rectangular (PNEZD)'!C8="","",'ET - Rectangular (PNEZD)'!C8)</f>
        <v/>
      </c>
      <c r="D6" s="4" t="str">
        <f>IF('ET - Rectangular (PNEZD)'!D8="","",'ET - Rectangular (PNEZD)'!D8)</f>
        <v/>
      </c>
      <c r="E6" s="4" t="str">
        <f>IF('ET - Rectangular (PNEZD)'!E8="","",'ET - Rectangular (PNEZD)'!E8)</f>
        <v/>
      </c>
      <c r="F6" s="3" t="str">
        <f>IF('ET - Rectangular (PNEZD)'!F8="","",'ET - Rectangular (PNEZD)'!F8)</f>
        <v/>
      </c>
      <c r="G6" s="3" t="str">
        <f t="shared" si="0"/>
        <v/>
      </c>
      <c r="H6" s="2" t="str">
        <f>IF('ET - Rectangular (PNEZD)'!H8="","",'ET - Rectangular (PNEZD)'!H8)</f>
        <v/>
      </c>
    </row>
    <row r="7" spans="1:8" x14ac:dyDescent="0.25">
      <c r="A7" s="3">
        <v>3</v>
      </c>
      <c r="B7" s="3" t="str">
        <f>IF('ET - Rectangular (PNEZD)'!B9="","",'ET - Rectangular (PNEZD)'!B9)</f>
        <v/>
      </c>
      <c r="C7" s="4" t="str">
        <f>IF('ET - Rectangular (PNEZD)'!C9="","",'ET - Rectangular (PNEZD)'!C9)</f>
        <v/>
      </c>
      <c r="D7" s="4" t="str">
        <f>IF('ET - Rectangular (PNEZD)'!D9="","",'ET - Rectangular (PNEZD)'!D9)</f>
        <v/>
      </c>
      <c r="E7" s="4" t="str">
        <f>IF('ET - Rectangular (PNEZD)'!E9="","",'ET - Rectangular (PNEZD)'!E9)</f>
        <v/>
      </c>
      <c r="F7" s="3" t="str">
        <f>IF('ET - Rectangular (PNEZD)'!F9="","",'ET - Rectangular (PNEZD)'!F9)</f>
        <v/>
      </c>
      <c r="G7" s="3" t="str">
        <f t="shared" si="0"/>
        <v/>
      </c>
      <c r="H7" s="2" t="str">
        <f>IF('ET - Rectangular (PNEZD)'!H9="","",'ET - Rectangular (PNEZD)'!H9)</f>
        <v/>
      </c>
    </row>
    <row r="8" spans="1:8" x14ac:dyDescent="0.25">
      <c r="A8" s="3">
        <v>4</v>
      </c>
      <c r="B8" s="3" t="str">
        <f>IF('ET - Rectangular (PNEZD)'!B10="","",'ET - Rectangular (PNEZD)'!B10)</f>
        <v/>
      </c>
      <c r="C8" s="4" t="str">
        <f>IF('ET - Rectangular (PNEZD)'!C10="","",'ET - Rectangular (PNEZD)'!C10)</f>
        <v/>
      </c>
      <c r="D8" s="4" t="str">
        <f>IF('ET - Rectangular (PNEZD)'!D10="","",'ET - Rectangular (PNEZD)'!D10)</f>
        <v/>
      </c>
      <c r="E8" s="4" t="str">
        <f>IF('ET - Rectangular (PNEZD)'!E10="","",'ET - Rectangular (PNEZD)'!E10)</f>
        <v/>
      </c>
      <c r="F8" s="3" t="str">
        <f>IF('ET - Rectangular (PNEZD)'!F10="","",'ET - Rectangular (PNEZD)'!F10)</f>
        <v/>
      </c>
      <c r="G8" s="3" t="str">
        <f t="shared" si="0"/>
        <v/>
      </c>
      <c r="H8" s="2" t="str">
        <f>IF('ET - Rectangular (PNEZD)'!H10="","",'ET - Rectangular (PNEZD)'!H10)</f>
        <v/>
      </c>
    </row>
    <row r="9" spans="1:8" x14ac:dyDescent="0.25">
      <c r="A9" s="3">
        <v>5</v>
      </c>
      <c r="B9" s="3" t="str">
        <f>IF('ET - Rectangular (PNEZD)'!B11="","",'ET - Rectangular (PNEZD)'!B11)</f>
        <v/>
      </c>
      <c r="C9" s="4" t="str">
        <f>IF('ET - Rectangular (PNEZD)'!C11="","",'ET - Rectangular (PNEZD)'!C11)</f>
        <v/>
      </c>
      <c r="D9" s="4" t="str">
        <f>IF('ET - Rectangular (PNEZD)'!D11="","",'ET - Rectangular (PNEZD)'!D11)</f>
        <v/>
      </c>
      <c r="E9" s="4" t="str">
        <f>IF('ET - Rectangular (PNEZD)'!E11="","",'ET - Rectangular (PNEZD)'!E11)</f>
        <v/>
      </c>
      <c r="F9" s="3" t="str">
        <f>IF('ET - Rectangular (PNEZD)'!F11="","",'ET - Rectangular (PNEZD)'!F11)</f>
        <v/>
      </c>
      <c r="G9" s="3" t="str">
        <f t="shared" si="0"/>
        <v/>
      </c>
      <c r="H9" s="2" t="str">
        <f>IF('ET - Rectangular (PNEZD)'!H11="","",'ET - Rectangular (PNEZD)'!H11)</f>
        <v/>
      </c>
    </row>
    <row r="10" spans="1:8" x14ac:dyDescent="0.25">
      <c r="A10" s="3">
        <v>6</v>
      </c>
      <c r="B10" s="3" t="str">
        <f>IF('ET - Rectangular (PNEZD)'!B12="","",'ET - Rectangular (PNEZD)'!B12)</f>
        <v/>
      </c>
      <c r="C10" s="4" t="str">
        <f>IF('ET - Rectangular (PNEZD)'!C12="","",'ET - Rectangular (PNEZD)'!C12)</f>
        <v/>
      </c>
      <c r="D10" s="4" t="str">
        <f>IF('ET - Rectangular (PNEZD)'!D12="","",'ET - Rectangular (PNEZD)'!D12)</f>
        <v/>
      </c>
      <c r="E10" s="4" t="str">
        <f>IF('ET - Rectangular (PNEZD)'!E12="","",'ET - Rectangular (PNEZD)'!E12)</f>
        <v/>
      </c>
      <c r="F10" s="3" t="str">
        <f>IF('ET - Rectangular (PNEZD)'!F12="","",'ET - Rectangular (PNEZD)'!F12)</f>
        <v/>
      </c>
      <c r="G10" s="3" t="str">
        <f t="shared" si="0"/>
        <v/>
      </c>
      <c r="H10" s="2" t="str">
        <f>IF('ET - Rectangular (PNEZD)'!H12="","",'ET - Rectangular (PNEZD)'!H12)</f>
        <v/>
      </c>
    </row>
    <row r="11" spans="1:8" x14ac:dyDescent="0.25">
      <c r="A11" s="3">
        <v>7</v>
      </c>
      <c r="B11" s="3" t="str">
        <f>IF('ET - Rectangular (PNEZD)'!B13="","",'ET - Rectangular (PNEZD)'!B13)</f>
        <v/>
      </c>
      <c r="C11" s="4" t="str">
        <f>IF('ET - Rectangular (PNEZD)'!C13="","",'ET - Rectangular (PNEZD)'!C13)</f>
        <v/>
      </c>
      <c r="D11" s="4" t="str">
        <f>IF('ET - Rectangular (PNEZD)'!D13="","",'ET - Rectangular (PNEZD)'!D13)</f>
        <v/>
      </c>
      <c r="E11" s="4" t="str">
        <f>IF('ET - Rectangular (PNEZD)'!E13="","",'ET - Rectangular (PNEZD)'!E13)</f>
        <v/>
      </c>
      <c r="F11" s="3" t="str">
        <f>IF('ET - Rectangular (PNEZD)'!F13="","",'ET - Rectangular (PNEZD)'!F13)</f>
        <v/>
      </c>
      <c r="G11" s="3" t="str">
        <f t="shared" si="0"/>
        <v/>
      </c>
      <c r="H11" s="2" t="str">
        <f>IF('ET - Rectangular (PNEZD)'!H13="","",'ET - Rectangular (PNEZD)'!H13)</f>
        <v/>
      </c>
    </row>
    <row r="12" spans="1:8" x14ac:dyDescent="0.25">
      <c r="A12" s="3">
        <v>8</v>
      </c>
      <c r="B12" s="3" t="str">
        <f>IF('ET - Rectangular (PNEZD)'!B14="","",'ET - Rectangular (PNEZD)'!B14)</f>
        <v/>
      </c>
      <c r="C12" s="4" t="str">
        <f>IF('ET - Rectangular (PNEZD)'!C14="","",'ET - Rectangular (PNEZD)'!C14)</f>
        <v/>
      </c>
      <c r="D12" s="4" t="str">
        <f>IF('ET - Rectangular (PNEZD)'!D14="","",'ET - Rectangular (PNEZD)'!D14)</f>
        <v/>
      </c>
      <c r="E12" s="4" t="str">
        <f>IF('ET - Rectangular (PNEZD)'!E14="","",'ET - Rectangular (PNEZD)'!E14)</f>
        <v/>
      </c>
      <c r="F12" s="3" t="str">
        <f>IF('ET - Rectangular (PNEZD)'!F14="","",'ET - Rectangular (PNEZD)'!F14)</f>
        <v/>
      </c>
      <c r="G12" s="3" t="str">
        <f t="shared" si="0"/>
        <v/>
      </c>
      <c r="H12" s="2" t="str">
        <f>IF('ET - Rectangular (PNEZD)'!H14="","",'ET - Rectangular (PNEZD)'!H14)</f>
        <v/>
      </c>
    </row>
    <row r="13" spans="1:8" x14ac:dyDescent="0.25">
      <c r="A13" s="3">
        <v>9</v>
      </c>
      <c r="B13" s="3" t="str">
        <f>IF('ET - Rectangular (PNEZD)'!B15="","",'ET - Rectangular (PNEZD)'!B15)</f>
        <v/>
      </c>
      <c r="C13" s="4" t="str">
        <f>IF('ET - Rectangular (PNEZD)'!C15="","",'ET - Rectangular (PNEZD)'!C15)</f>
        <v/>
      </c>
      <c r="D13" s="4" t="str">
        <f>IF('ET - Rectangular (PNEZD)'!D15="","",'ET - Rectangular (PNEZD)'!D15)</f>
        <v/>
      </c>
      <c r="E13" s="4" t="str">
        <f>IF('ET - Rectangular (PNEZD)'!E15="","",'ET - Rectangular (PNEZD)'!E15)</f>
        <v/>
      </c>
      <c r="F13" s="3" t="str">
        <f>IF('ET - Rectangular (PNEZD)'!F15="","",'ET - Rectangular (PNEZD)'!F15)</f>
        <v/>
      </c>
      <c r="G13" s="3" t="str">
        <f t="shared" si="0"/>
        <v/>
      </c>
      <c r="H13" s="2" t="str">
        <f>IF('ET - Rectangular (PNEZD)'!H15="","",'ET - Rectangular (PNEZD)'!H15)</f>
        <v/>
      </c>
    </row>
    <row r="14" spans="1:8" x14ac:dyDescent="0.25">
      <c r="A14" s="3">
        <v>10</v>
      </c>
      <c r="B14" s="3" t="str">
        <f>IF('ET - Rectangular (PNEZD)'!B16="","",'ET - Rectangular (PNEZD)'!B16)</f>
        <v/>
      </c>
      <c r="C14" s="4" t="str">
        <f>IF('ET - Rectangular (PNEZD)'!C16="","",'ET - Rectangular (PNEZD)'!C16)</f>
        <v/>
      </c>
      <c r="D14" s="4" t="str">
        <f>IF('ET - Rectangular (PNEZD)'!D16="","",'ET - Rectangular (PNEZD)'!D16)</f>
        <v/>
      </c>
      <c r="E14" s="4" t="str">
        <f>IF('ET - Rectangular (PNEZD)'!E16="","",'ET - Rectangular (PNEZD)'!E16)</f>
        <v/>
      </c>
      <c r="F14" s="3" t="str">
        <f>IF('ET - Rectangular (PNEZD)'!F16="","",'ET - Rectangular (PNEZD)'!F16)</f>
        <v/>
      </c>
      <c r="G14" s="3" t="str">
        <f t="shared" si="0"/>
        <v/>
      </c>
      <c r="H14" s="2" t="str">
        <f>IF('ET - Rectangular (PNEZD)'!H16="","",'ET - Rectangular (PNEZD)'!H16)</f>
        <v/>
      </c>
    </row>
    <row r="15" spans="1:8" x14ac:dyDescent="0.25">
      <c r="A15" s="3">
        <v>11</v>
      </c>
      <c r="B15" s="3" t="str">
        <f>IF('ET - Rectangular (PNEZD)'!B17="","",'ET - Rectangular (PNEZD)'!B17)</f>
        <v/>
      </c>
      <c r="C15" s="4" t="str">
        <f>IF('ET - Rectangular (PNEZD)'!C17="","",'ET - Rectangular (PNEZD)'!C17)</f>
        <v/>
      </c>
      <c r="D15" s="4" t="str">
        <f>IF('ET - Rectangular (PNEZD)'!D17="","",'ET - Rectangular (PNEZD)'!D17)</f>
        <v/>
      </c>
      <c r="E15" s="4" t="str">
        <f>IF('ET - Rectangular (PNEZD)'!E17="","",'ET - Rectangular (PNEZD)'!E17)</f>
        <v/>
      </c>
      <c r="F15" s="3" t="str">
        <f>IF('ET - Rectangular (PNEZD)'!F17="","",'ET - Rectangular (PNEZD)'!F17)</f>
        <v/>
      </c>
      <c r="G15" s="3" t="str">
        <f t="shared" si="0"/>
        <v/>
      </c>
      <c r="H15" s="2" t="str">
        <f>IF('ET - Rectangular (PNEZD)'!H17="","",'ET - Rectangular (PNEZD)'!H17)</f>
        <v/>
      </c>
    </row>
    <row r="16" spans="1:8" x14ac:dyDescent="0.25">
      <c r="A16" s="3">
        <v>12</v>
      </c>
      <c r="B16" s="3" t="str">
        <f>IF('ET - Rectangular (PNEZD)'!B18="","",'ET - Rectangular (PNEZD)'!B18)</f>
        <v/>
      </c>
      <c r="C16" s="4" t="str">
        <f>IF('ET - Rectangular (PNEZD)'!C18="","",'ET - Rectangular (PNEZD)'!C18)</f>
        <v/>
      </c>
      <c r="D16" s="4" t="str">
        <f>IF('ET - Rectangular (PNEZD)'!D18="","",'ET - Rectangular (PNEZD)'!D18)</f>
        <v/>
      </c>
      <c r="E16" s="4" t="str">
        <f>IF('ET - Rectangular (PNEZD)'!E18="","",'ET - Rectangular (PNEZD)'!E18)</f>
        <v/>
      </c>
      <c r="F16" s="3" t="str">
        <f>IF('ET - Rectangular (PNEZD)'!F18="","",'ET - Rectangular (PNEZD)'!F18)</f>
        <v/>
      </c>
      <c r="G16" s="3" t="str">
        <f t="shared" si="0"/>
        <v/>
      </c>
      <c r="H16" s="2" t="str">
        <f>IF('ET - Rectangular (PNEZD)'!H18="","",'ET - Rectangular (PNEZD)'!H18)</f>
        <v/>
      </c>
    </row>
    <row r="17" spans="1:8" x14ac:dyDescent="0.25">
      <c r="A17" s="3">
        <v>13</v>
      </c>
      <c r="B17" s="3" t="str">
        <f>IF('ET - Rectangular (PNEZD)'!B19="","",'ET - Rectangular (PNEZD)'!B19)</f>
        <v/>
      </c>
      <c r="C17" s="4" t="str">
        <f>IF('ET - Rectangular (PNEZD)'!C19="","",'ET - Rectangular (PNEZD)'!C19)</f>
        <v/>
      </c>
      <c r="D17" s="4" t="str">
        <f>IF('ET - Rectangular (PNEZD)'!D19="","",'ET - Rectangular (PNEZD)'!D19)</f>
        <v/>
      </c>
      <c r="E17" s="4" t="str">
        <f>IF('ET - Rectangular (PNEZD)'!E19="","",'ET - Rectangular (PNEZD)'!E19)</f>
        <v/>
      </c>
      <c r="F17" s="3" t="str">
        <f>IF('ET - Rectangular (PNEZD)'!F19="","",'ET - Rectangular (PNEZD)'!F19)</f>
        <v/>
      </c>
      <c r="G17" s="3" t="str">
        <f t="shared" si="0"/>
        <v/>
      </c>
      <c r="H17" s="2" t="str">
        <f>IF('ET - Rectangular (PNEZD)'!H19="","",'ET - Rectangular (PNEZD)'!H19)</f>
        <v/>
      </c>
    </row>
    <row r="18" spans="1:8" x14ac:dyDescent="0.25">
      <c r="A18" s="3">
        <v>14</v>
      </c>
      <c r="B18" s="3" t="str">
        <f>IF('ET - Rectangular (PNEZD)'!B20="","",'ET - Rectangular (PNEZD)'!B20)</f>
        <v/>
      </c>
      <c r="C18" s="4" t="str">
        <f>IF('ET - Rectangular (PNEZD)'!C20="","",'ET - Rectangular (PNEZD)'!C20)</f>
        <v/>
      </c>
      <c r="D18" s="4" t="str">
        <f>IF('ET - Rectangular (PNEZD)'!D20="","",'ET - Rectangular (PNEZD)'!D20)</f>
        <v/>
      </c>
      <c r="E18" s="4" t="str">
        <f>IF('ET - Rectangular (PNEZD)'!E20="","",'ET - Rectangular (PNEZD)'!E20)</f>
        <v/>
      </c>
      <c r="F18" s="3" t="str">
        <f>IF('ET - Rectangular (PNEZD)'!F20="","",'ET - Rectangular (PNEZD)'!F20)</f>
        <v/>
      </c>
      <c r="G18" s="3" t="str">
        <f t="shared" si="0"/>
        <v/>
      </c>
      <c r="H18" s="2" t="str">
        <f>IF('ET - Rectangular (PNEZD)'!H20="","",'ET - Rectangular (PNEZD)'!H20)</f>
        <v/>
      </c>
    </row>
    <row r="19" spans="1:8" x14ac:dyDescent="0.25">
      <c r="A19" s="3">
        <v>15</v>
      </c>
      <c r="B19" s="3" t="str">
        <f>IF('ET - Rectangular (PNEZD)'!B21="","",'ET - Rectangular (PNEZD)'!B21)</f>
        <v/>
      </c>
      <c r="C19" s="4" t="str">
        <f>IF('ET - Rectangular (PNEZD)'!C21="","",'ET - Rectangular (PNEZD)'!C21)</f>
        <v/>
      </c>
      <c r="D19" s="4" t="str">
        <f>IF('ET - Rectangular (PNEZD)'!D21="","",'ET - Rectangular (PNEZD)'!D21)</f>
        <v/>
      </c>
      <c r="E19" s="4" t="str">
        <f>IF('ET - Rectangular (PNEZD)'!E21="","",'ET - Rectangular (PNEZD)'!E21)</f>
        <v/>
      </c>
      <c r="F19" s="3" t="str">
        <f>IF('ET - Rectangular (PNEZD)'!F21="","",'ET - Rectangular (PNEZD)'!F21)</f>
        <v/>
      </c>
      <c r="G19" s="3" t="str">
        <f t="shared" si="0"/>
        <v/>
      </c>
      <c r="H19" s="2" t="str">
        <f>IF('ET - Rectangular (PNEZD)'!H21="","",'ET - Rectangular (PNEZD)'!H21)</f>
        <v/>
      </c>
    </row>
    <row r="20" spans="1:8" x14ac:dyDescent="0.25">
      <c r="A20" s="3">
        <v>16</v>
      </c>
      <c r="B20" s="3" t="str">
        <f>IF('ET - Rectangular (PNEZD)'!B22="","",'ET - Rectangular (PNEZD)'!B22)</f>
        <v/>
      </c>
      <c r="C20" s="4" t="str">
        <f>IF('ET - Rectangular (PNEZD)'!C22="","",'ET - Rectangular (PNEZD)'!C22)</f>
        <v/>
      </c>
      <c r="D20" s="4" t="str">
        <f>IF('ET - Rectangular (PNEZD)'!D22="","",'ET - Rectangular (PNEZD)'!D22)</f>
        <v/>
      </c>
      <c r="E20" s="4" t="str">
        <f>IF('ET - Rectangular (PNEZD)'!E22="","",'ET - Rectangular (PNEZD)'!E22)</f>
        <v/>
      </c>
      <c r="F20" s="3" t="str">
        <f>IF('ET - Rectangular (PNEZD)'!F22="","",'ET - Rectangular (PNEZD)'!F22)</f>
        <v/>
      </c>
      <c r="G20" s="3" t="str">
        <f t="shared" si="0"/>
        <v/>
      </c>
      <c r="H20" s="2" t="str">
        <f>IF('ET - Rectangular (PNEZD)'!H22="","",'ET - Rectangular (PNEZD)'!H22)</f>
        <v/>
      </c>
    </row>
    <row r="21" spans="1:8" x14ac:dyDescent="0.25">
      <c r="A21" s="3">
        <v>17</v>
      </c>
      <c r="B21" s="3" t="str">
        <f>IF('ET - Rectangular (PNEZD)'!B23="","",'ET - Rectangular (PNEZD)'!B23)</f>
        <v/>
      </c>
      <c r="C21" s="4" t="str">
        <f>IF('ET - Rectangular (PNEZD)'!C23="","",'ET - Rectangular (PNEZD)'!C23)</f>
        <v/>
      </c>
      <c r="D21" s="4" t="str">
        <f>IF('ET - Rectangular (PNEZD)'!D23="","",'ET - Rectangular (PNEZD)'!D23)</f>
        <v/>
      </c>
      <c r="E21" s="4" t="str">
        <f>IF('ET - Rectangular (PNEZD)'!E23="","",'ET - Rectangular (PNEZD)'!E23)</f>
        <v/>
      </c>
      <c r="F21" s="3" t="str">
        <f>IF('ET - Rectangular (PNEZD)'!F23="","",'ET - Rectangular (PNEZD)'!F23)</f>
        <v/>
      </c>
      <c r="G21" s="3" t="str">
        <f t="shared" si="0"/>
        <v/>
      </c>
      <c r="H21" s="2" t="str">
        <f>IF('ET - Rectangular (PNEZD)'!H23="","",'ET - Rectangular (PNEZD)'!H23)</f>
        <v/>
      </c>
    </row>
    <row r="22" spans="1:8" x14ac:dyDescent="0.25">
      <c r="A22" s="3">
        <v>18</v>
      </c>
      <c r="B22" s="3" t="str">
        <f>IF('ET - Rectangular (PNEZD)'!B24="","",'ET - Rectangular (PNEZD)'!B24)</f>
        <v/>
      </c>
      <c r="C22" s="4" t="str">
        <f>IF('ET - Rectangular (PNEZD)'!C24="","",'ET - Rectangular (PNEZD)'!C24)</f>
        <v/>
      </c>
      <c r="D22" s="4" t="str">
        <f>IF('ET - Rectangular (PNEZD)'!D24="","",'ET - Rectangular (PNEZD)'!D24)</f>
        <v/>
      </c>
      <c r="E22" s="4" t="str">
        <f>IF('ET - Rectangular (PNEZD)'!E24="","",'ET - Rectangular (PNEZD)'!E24)</f>
        <v/>
      </c>
      <c r="F22" s="3" t="str">
        <f>IF('ET - Rectangular (PNEZD)'!F24="","",'ET - Rectangular (PNEZD)'!F24)</f>
        <v/>
      </c>
      <c r="G22" s="3" t="str">
        <f t="shared" si="0"/>
        <v/>
      </c>
      <c r="H22" s="2" t="str">
        <f>IF('ET - Rectangular (PNEZD)'!H24="","",'ET - Rectangular (PNEZD)'!H24)</f>
        <v/>
      </c>
    </row>
    <row r="23" spans="1:8" x14ac:dyDescent="0.25">
      <c r="A23" s="3">
        <v>19</v>
      </c>
      <c r="B23" s="3" t="str">
        <f>IF('ET - Rectangular (PNEZD)'!B25="","",'ET - Rectangular (PNEZD)'!B25)</f>
        <v/>
      </c>
      <c r="C23" s="4" t="str">
        <f>IF('ET - Rectangular (PNEZD)'!C25="","",'ET - Rectangular (PNEZD)'!C25)</f>
        <v/>
      </c>
      <c r="D23" s="4" t="str">
        <f>IF('ET - Rectangular (PNEZD)'!D25="","",'ET - Rectangular (PNEZD)'!D25)</f>
        <v/>
      </c>
      <c r="E23" s="4" t="str">
        <f>IF('ET - Rectangular (PNEZD)'!E25="","",'ET - Rectangular (PNEZD)'!E25)</f>
        <v/>
      </c>
      <c r="F23" s="3" t="str">
        <f>IF('ET - Rectangular (PNEZD)'!F25="","",'ET - Rectangular (PNEZD)'!F25)</f>
        <v/>
      </c>
      <c r="G23" s="3" t="str">
        <f t="shared" si="0"/>
        <v/>
      </c>
      <c r="H23" s="2" t="str">
        <f>IF('ET - Rectangular (PNEZD)'!H25="","",'ET - Rectangular (PNEZD)'!H25)</f>
        <v/>
      </c>
    </row>
    <row r="24" spans="1:8" x14ac:dyDescent="0.25">
      <c r="A24" s="3">
        <v>20</v>
      </c>
      <c r="B24" s="3" t="str">
        <f>IF('ET - Rectangular (PNEZD)'!B26="","",'ET - Rectangular (PNEZD)'!B26)</f>
        <v/>
      </c>
      <c r="C24" s="4" t="str">
        <f>IF('ET - Rectangular (PNEZD)'!C26="","",'ET - Rectangular (PNEZD)'!C26)</f>
        <v/>
      </c>
      <c r="D24" s="4" t="str">
        <f>IF('ET - Rectangular (PNEZD)'!D26="","",'ET - Rectangular (PNEZD)'!D26)</f>
        <v/>
      </c>
      <c r="E24" s="4" t="str">
        <f>IF('ET - Rectangular (PNEZD)'!E26="","",'ET - Rectangular (PNEZD)'!E26)</f>
        <v/>
      </c>
      <c r="F24" s="3" t="str">
        <f>IF('ET - Rectangular (PNEZD)'!F26="","",'ET - Rectangular (PNEZD)'!F26)</f>
        <v/>
      </c>
      <c r="G24" s="3" t="str">
        <f t="shared" si="0"/>
        <v/>
      </c>
      <c r="H24" s="2" t="str">
        <f>IF('ET - Rectangular (PNEZD)'!H26="","",'ET - Rectangular (PNEZD)'!H26)</f>
        <v/>
      </c>
    </row>
    <row r="25" spans="1:8" x14ac:dyDescent="0.25">
      <c r="A25" s="3">
        <v>21</v>
      </c>
      <c r="B25" s="3" t="str">
        <f>IF('ET - Rectangular (PNEZD)'!B27="","",'ET - Rectangular (PNEZD)'!B27)</f>
        <v/>
      </c>
      <c r="C25" s="4" t="str">
        <f>IF('ET - Rectangular (PNEZD)'!C27="","",'ET - Rectangular (PNEZD)'!C27)</f>
        <v/>
      </c>
      <c r="D25" s="4" t="str">
        <f>IF('ET - Rectangular (PNEZD)'!D27="","",'ET - Rectangular (PNEZD)'!D27)</f>
        <v/>
      </c>
      <c r="E25" s="4" t="str">
        <f>IF('ET - Rectangular (PNEZD)'!E27="","",'ET - Rectangular (PNEZD)'!E27)</f>
        <v/>
      </c>
      <c r="F25" s="3" t="str">
        <f>IF('ET - Rectangular (PNEZD)'!F27="","",'ET - Rectangular (PNEZD)'!F27)</f>
        <v/>
      </c>
      <c r="G25" s="3" t="str">
        <f t="shared" si="0"/>
        <v/>
      </c>
      <c r="H25" s="2" t="str">
        <f>IF('ET - Rectangular (PNEZD)'!H27="","",'ET - Rectangular (PNEZD)'!H27)</f>
        <v/>
      </c>
    </row>
    <row r="26" spans="1:8" x14ac:dyDescent="0.25">
      <c r="A26" s="3">
        <v>22</v>
      </c>
      <c r="B26" s="3" t="str">
        <f>IF('ET - Rectangular (PNEZD)'!B28="","",'ET - Rectangular (PNEZD)'!B28)</f>
        <v/>
      </c>
      <c r="C26" s="4" t="str">
        <f>IF('ET - Rectangular (PNEZD)'!C28="","",'ET - Rectangular (PNEZD)'!C28)</f>
        <v/>
      </c>
      <c r="D26" s="4" t="str">
        <f>IF('ET - Rectangular (PNEZD)'!D28="","",'ET - Rectangular (PNEZD)'!D28)</f>
        <v/>
      </c>
      <c r="E26" s="4" t="str">
        <f>IF('ET - Rectangular (PNEZD)'!E28="","",'ET - Rectangular (PNEZD)'!E28)</f>
        <v/>
      </c>
      <c r="F26" s="3" t="str">
        <f>IF('ET - Rectangular (PNEZD)'!F28="","",'ET - Rectangular (PNEZD)'!F28)</f>
        <v/>
      </c>
      <c r="G26" s="3" t="str">
        <f t="shared" si="0"/>
        <v/>
      </c>
      <c r="H26" s="2" t="str">
        <f>IF('ET - Rectangular (PNEZD)'!H28="","",'ET - Rectangular (PNEZD)'!H28)</f>
        <v/>
      </c>
    </row>
    <row r="27" spans="1:8" x14ac:dyDescent="0.25">
      <c r="A27" s="3">
        <v>23</v>
      </c>
      <c r="B27" s="3" t="str">
        <f>IF('ET - Rectangular (PNEZD)'!B29="","",'ET - Rectangular (PNEZD)'!B29)</f>
        <v/>
      </c>
      <c r="C27" s="4" t="str">
        <f>IF('ET - Rectangular (PNEZD)'!C29="","",'ET - Rectangular (PNEZD)'!C29)</f>
        <v/>
      </c>
      <c r="D27" s="4" t="str">
        <f>IF('ET - Rectangular (PNEZD)'!D29="","",'ET - Rectangular (PNEZD)'!D29)</f>
        <v/>
      </c>
      <c r="E27" s="4" t="str">
        <f>IF('ET - Rectangular (PNEZD)'!E29="","",'ET - Rectangular (PNEZD)'!E29)</f>
        <v/>
      </c>
      <c r="F27" s="3" t="str">
        <f>IF('ET - Rectangular (PNEZD)'!F29="","",'ET - Rectangular (PNEZD)'!F29)</f>
        <v/>
      </c>
      <c r="G27" s="3" t="str">
        <f t="shared" si="0"/>
        <v/>
      </c>
      <c r="H27" s="2" t="str">
        <f>IF('ET - Rectangular (PNEZD)'!H29="","",'ET - Rectangular (PNEZD)'!H29)</f>
        <v/>
      </c>
    </row>
    <row r="28" spans="1:8" x14ac:dyDescent="0.25">
      <c r="A28" s="3">
        <v>24</v>
      </c>
      <c r="B28" s="3" t="str">
        <f>IF('ET - Rectangular (PNEZD)'!B30="","",'ET - Rectangular (PNEZD)'!B30)</f>
        <v/>
      </c>
      <c r="C28" s="4" t="str">
        <f>IF('ET - Rectangular (PNEZD)'!C30="","",'ET - Rectangular (PNEZD)'!C30)</f>
        <v/>
      </c>
      <c r="D28" s="4" t="str">
        <f>IF('ET - Rectangular (PNEZD)'!D30="","",'ET - Rectangular (PNEZD)'!D30)</f>
        <v/>
      </c>
      <c r="E28" s="4" t="str">
        <f>IF('ET - Rectangular (PNEZD)'!E30="","",'ET - Rectangular (PNEZD)'!E30)</f>
        <v/>
      </c>
      <c r="F28" s="3" t="str">
        <f>IF('ET - Rectangular (PNEZD)'!F30="","",'ET - Rectangular (PNEZD)'!F30)</f>
        <v/>
      </c>
      <c r="G28" s="3" t="str">
        <f t="shared" si="0"/>
        <v/>
      </c>
      <c r="H28" s="2" t="str">
        <f>IF('ET - Rectangular (PNEZD)'!H30="","",'ET - Rectangular (PNEZD)'!H30)</f>
        <v/>
      </c>
    </row>
    <row r="29" spans="1:8" x14ac:dyDescent="0.25">
      <c r="A29" s="3">
        <v>25</v>
      </c>
      <c r="B29" s="3" t="str">
        <f>IF('ET - Rectangular (PNEZD)'!B31="","",'ET - Rectangular (PNEZD)'!B31)</f>
        <v/>
      </c>
      <c r="C29" s="4" t="str">
        <f>IF('ET - Rectangular (PNEZD)'!C31="","",'ET - Rectangular (PNEZD)'!C31)</f>
        <v/>
      </c>
      <c r="D29" s="4" t="str">
        <f>IF('ET - Rectangular (PNEZD)'!D31="","",'ET - Rectangular (PNEZD)'!D31)</f>
        <v/>
      </c>
      <c r="E29" s="4" t="str">
        <f>IF('ET - Rectangular (PNEZD)'!E31="","",'ET - Rectangular (PNEZD)'!E31)</f>
        <v/>
      </c>
      <c r="F29" s="3" t="str">
        <f>IF('ET - Rectangular (PNEZD)'!F31="","",'ET - Rectangular (PNEZD)'!F31)</f>
        <v/>
      </c>
      <c r="G29" s="3" t="str">
        <f t="shared" si="0"/>
        <v/>
      </c>
      <c r="H29" s="2" t="str">
        <f>IF('ET - Rectangular (PNEZD)'!H31="","",'ET - Rectangular (PNEZD)'!H31)</f>
        <v/>
      </c>
    </row>
    <row r="30" spans="1:8" x14ac:dyDescent="0.25">
      <c r="A30" s="3">
        <v>26</v>
      </c>
      <c r="B30" s="3" t="str">
        <f>IF('ET - Rectangular (PNEZD)'!B32="","",'ET - Rectangular (PNEZD)'!B32)</f>
        <v/>
      </c>
      <c r="C30" s="4" t="str">
        <f>IF('ET - Rectangular (PNEZD)'!C32="","",'ET - Rectangular (PNEZD)'!C32)</f>
        <v/>
      </c>
      <c r="D30" s="4" t="str">
        <f>IF('ET - Rectangular (PNEZD)'!D32="","",'ET - Rectangular (PNEZD)'!D32)</f>
        <v/>
      </c>
      <c r="E30" s="4" t="str">
        <f>IF('ET - Rectangular (PNEZD)'!E32="","",'ET - Rectangular (PNEZD)'!E32)</f>
        <v/>
      </c>
      <c r="F30" s="3" t="str">
        <f>IF('ET - Rectangular (PNEZD)'!F32="","",'ET - Rectangular (PNEZD)'!F32)</f>
        <v/>
      </c>
      <c r="G30" s="3" t="str">
        <f t="shared" si="0"/>
        <v/>
      </c>
      <c r="H30" s="2" t="str">
        <f>IF('ET - Rectangular (PNEZD)'!H32="","",'ET - Rectangular (PNEZD)'!H32)</f>
        <v/>
      </c>
    </row>
    <row r="31" spans="1:8" x14ac:dyDescent="0.25">
      <c r="A31" s="3">
        <v>27</v>
      </c>
      <c r="B31" s="3" t="str">
        <f>IF('ET - Rectangular (PNEZD)'!B33="","",'ET - Rectangular (PNEZD)'!B33)</f>
        <v/>
      </c>
      <c r="C31" s="4" t="str">
        <f>IF('ET - Rectangular (PNEZD)'!C33="","",'ET - Rectangular (PNEZD)'!C33)</f>
        <v/>
      </c>
      <c r="D31" s="4" t="str">
        <f>IF('ET - Rectangular (PNEZD)'!D33="","",'ET - Rectangular (PNEZD)'!D33)</f>
        <v/>
      </c>
      <c r="E31" s="4" t="str">
        <f>IF('ET - Rectangular (PNEZD)'!E33="","",'ET - Rectangular (PNEZD)'!E33)</f>
        <v/>
      </c>
      <c r="F31" s="3" t="str">
        <f>IF('ET - Rectangular (PNEZD)'!F33="","",'ET - Rectangular (PNEZD)'!F33)</f>
        <v/>
      </c>
      <c r="G31" s="3" t="str">
        <f t="shared" si="0"/>
        <v/>
      </c>
      <c r="H31" s="2" t="str">
        <f>IF('ET - Rectangular (PNEZD)'!H33="","",'ET - Rectangular (PNEZD)'!H33)</f>
        <v/>
      </c>
    </row>
    <row r="32" spans="1:8" x14ac:dyDescent="0.25">
      <c r="A32" s="3">
        <v>28</v>
      </c>
      <c r="B32" s="3" t="str">
        <f>IF('ET - Rectangular (PNEZD)'!B34="","",'ET - Rectangular (PNEZD)'!B34)</f>
        <v/>
      </c>
      <c r="C32" s="4" t="str">
        <f>IF('ET - Rectangular (PNEZD)'!C34="","",'ET - Rectangular (PNEZD)'!C34)</f>
        <v/>
      </c>
      <c r="D32" s="4" t="str">
        <f>IF('ET - Rectangular (PNEZD)'!D34="","",'ET - Rectangular (PNEZD)'!D34)</f>
        <v/>
      </c>
      <c r="E32" s="4" t="str">
        <f>IF('ET - Rectangular (PNEZD)'!E34="","",'ET - Rectangular (PNEZD)'!E34)</f>
        <v/>
      </c>
      <c r="F32" s="3" t="str">
        <f>IF('ET - Rectangular (PNEZD)'!F34="","",'ET - Rectangular (PNEZD)'!F34)</f>
        <v/>
      </c>
      <c r="G32" s="3" t="str">
        <f t="shared" si="0"/>
        <v/>
      </c>
      <c r="H32" s="2" t="str">
        <f>IF('ET - Rectangular (PNEZD)'!H34="","",'ET - Rectangular (PNEZD)'!H34)</f>
        <v/>
      </c>
    </row>
    <row r="33" spans="1:8" x14ac:dyDescent="0.25">
      <c r="A33" s="3">
        <v>29</v>
      </c>
      <c r="B33" s="3" t="str">
        <f>IF('ET - Rectangular (PNEZD)'!B35="","",'ET - Rectangular (PNEZD)'!B35)</f>
        <v/>
      </c>
      <c r="C33" s="4" t="str">
        <f>IF('ET - Rectangular (PNEZD)'!C35="","",'ET - Rectangular (PNEZD)'!C35)</f>
        <v/>
      </c>
      <c r="D33" s="4" t="str">
        <f>IF('ET - Rectangular (PNEZD)'!D35="","",'ET - Rectangular (PNEZD)'!D35)</f>
        <v/>
      </c>
      <c r="E33" s="4" t="str">
        <f>IF('ET - Rectangular (PNEZD)'!E35="","",'ET - Rectangular (PNEZD)'!E35)</f>
        <v/>
      </c>
      <c r="F33" s="3" t="str">
        <f>IF('ET - Rectangular (PNEZD)'!F35="","",'ET - Rectangular (PNEZD)'!F35)</f>
        <v/>
      </c>
      <c r="G33" s="3" t="str">
        <f t="shared" si="0"/>
        <v/>
      </c>
      <c r="H33" s="2" t="str">
        <f>IF('ET - Rectangular (PNEZD)'!H35="","",'ET - Rectangular (PNEZD)'!H35)</f>
        <v/>
      </c>
    </row>
    <row r="34" spans="1:8" x14ac:dyDescent="0.25">
      <c r="A34" s="3">
        <v>30</v>
      </c>
      <c r="B34" s="3" t="str">
        <f>IF('ET - Rectangular (PNEZD)'!B36="","",'ET - Rectangular (PNEZD)'!B36)</f>
        <v/>
      </c>
      <c r="C34" s="4" t="str">
        <f>IF('ET - Rectangular (PNEZD)'!C36="","",'ET - Rectangular (PNEZD)'!C36)</f>
        <v/>
      </c>
      <c r="D34" s="4" t="str">
        <f>IF('ET - Rectangular (PNEZD)'!D36="","",'ET - Rectangular (PNEZD)'!D36)</f>
        <v/>
      </c>
      <c r="E34" s="4" t="str">
        <f>IF('ET - Rectangular (PNEZD)'!E36="","",'ET - Rectangular (PNEZD)'!E36)</f>
        <v/>
      </c>
      <c r="F34" s="3" t="str">
        <f>IF('ET - Rectangular (PNEZD)'!F36="","",'ET - Rectangular (PNEZD)'!F36)</f>
        <v/>
      </c>
      <c r="G34" s="3" t="str">
        <f t="shared" si="0"/>
        <v/>
      </c>
      <c r="H34" s="2" t="str">
        <f>IF('ET - Rectangular (PNEZD)'!H36="","",'ET - Rectangular (PNEZD)'!H36)</f>
        <v/>
      </c>
    </row>
    <row r="35" spans="1:8" x14ac:dyDescent="0.25">
      <c r="A35" s="3">
        <v>31</v>
      </c>
      <c r="B35" s="3" t="str">
        <f>IF('ET - Rectangular (PNEZD)'!B37="","",'ET - Rectangular (PNEZD)'!B37)</f>
        <v/>
      </c>
      <c r="C35" s="4" t="str">
        <f>IF('ET - Rectangular (PNEZD)'!C37="","",'ET - Rectangular (PNEZD)'!C37)</f>
        <v/>
      </c>
      <c r="D35" s="4" t="str">
        <f>IF('ET - Rectangular (PNEZD)'!D37="","",'ET - Rectangular (PNEZD)'!D37)</f>
        <v/>
      </c>
      <c r="E35" s="4" t="str">
        <f>IF('ET - Rectangular (PNEZD)'!E37="","",'ET - Rectangular (PNEZD)'!E37)</f>
        <v/>
      </c>
      <c r="F35" s="3" t="str">
        <f>IF('ET - Rectangular (PNEZD)'!F37="","",'ET - Rectangular (PNEZD)'!F37)</f>
        <v/>
      </c>
      <c r="G35" s="3" t="str">
        <f t="shared" si="0"/>
        <v/>
      </c>
      <c r="H35" s="2" t="str">
        <f>IF('ET - Rectangular (PNEZD)'!H37="","",'ET - Rectangular (PNEZD)'!H37)</f>
        <v/>
      </c>
    </row>
    <row r="36" spans="1:8" x14ac:dyDescent="0.25">
      <c r="A36" s="3">
        <v>32</v>
      </c>
      <c r="B36" s="3" t="str">
        <f>IF('ET - Rectangular (PNEZD)'!B38="","",'ET - Rectangular (PNEZD)'!B38)</f>
        <v/>
      </c>
      <c r="C36" s="4" t="str">
        <f>IF('ET - Rectangular (PNEZD)'!C38="","",'ET - Rectangular (PNEZD)'!C38)</f>
        <v/>
      </c>
      <c r="D36" s="4" t="str">
        <f>IF('ET - Rectangular (PNEZD)'!D38="","",'ET - Rectangular (PNEZD)'!D38)</f>
        <v/>
      </c>
      <c r="E36" s="4" t="str">
        <f>IF('ET - Rectangular (PNEZD)'!E38="","",'ET - Rectangular (PNEZD)'!E38)</f>
        <v/>
      </c>
      <c r="F36" s="3" t="str">
        <f>IF('ET - Rectangular (PNEZD)'!F38="","",'ET - Rectangular (PNEZD)'!F38)</f>
        <v/>
      </c>
      <c r="G36" s="3" t="str">
        <f t="shared" si="0"/>
        <v/>
      </c>
      <c r="H36" s="2" t="str">
        <f>IF('ET - Rectangular (PNEZD)'!H38="","",'ET - Rectangular (PNEZD)'!H38)</f>
        <v/>
      </c>
    </row>
    <row r="37" spans="1:8" x14ac:dyDescent="0.25">
      <c r="A37" s="3">
        <v>33</v>
      </c>
      <c r="B37" s="3" t="str">
        <f>IF('ET - Rectangular (PNEZD)'!B39="","",'ET - Rectangular (PNEZD)'!B39)</f>
        <v/>
      </c>
      <c r="C37" s="4" t="str">
        <f>IF('ET - Rectangular (PNEZD)'!C39="","",'ET - Rectangular (PNEZD)'!C39)</f>
        <v/>
      </c>
      <c r="D37" s="4" t="str">
        <f>IF('ET - Rectangular (PNEZD)'!D39="","",'ET - Rectangular (PNEZD)'!D39)</f>
        <v/>
      </c>
      <c r="E37" s="4" t="str">
        <f>IF('ET - Rectangular (PNEZD)'!E39="","",'ET - Rectangular (PNEZD)'!E39)</f>
        <v/>
      </c>
      <c r="F37" s="3" t="str">
        <f>IF('ET - Rectangular (PNEZD)'!F39="","",'ET - Rectangular (PNEZD)'!F39)</f>
        <v/>
      </c>
      <c r="G37" s="3" t="str">
        <f t="shared" ref="G37:G68" si="1">IF(B37="","","ET Rect.")</f>
        <v/>
      </c>
      <c r="H37" s="2" t="str">
        <f>IF('ET - Rectangular (PNEZD)'!H39="","",'ET - Rectangular (PNEZD)'!H39)</f>
        <v/>
      </c>
    </row>
    <row r="38" spans="1:8" x14ac:dyDescent="0.25">
      <c r="A38" s="3">
        <v>34</v>
      </c>
      <c r="B38" s="3" t="str">
        <f>IF('ET - Rectangular (PNEZD)'!B40="","",'ET - Rectangular (PNEZD)'!B40)</f>
        <v/>
      </c>
      <c r="C38" s="4" t="str">
        <f>IF('ET - Rectangular (PNEZD)'!C40="","",'ET - Rectangular (PNEZD)'!C40)</f>
        <v/>
      </c>
      <c r="D38" s="4" t="str">
        <f>IF('ET - Rectangular (PNEZD)'!D40="","",'ET - Rectangular (PNEZD)'!D40)</f>
        <v/>
      </c>
      <c r="E38" s="4" t="str">
        <f>IF('ET - Rectangular (PNEZD)'!E40="","",'ET - Rectangular (PNEZD)'!E40)</f>
        <v/>
      </c>
      <c r="F38" s="3" t="str">
        <f>IF('ET - Rectangular (PNEZD)'!F40="","",'ET - Rectangular (PNEZD)'!F40)</f>
        <v/>
      </c>
      <c r="G38" s="3" t="str">
        <f t="shared" si="1"/>
        <v/>
      </c>
      <c r="H38" s="2" t="str">
        <f>IF('ET - Rectangular (PNEZD)'!H40="","",'ET - Rectangular (PNEZD)'!H40)</f>
        <v/>
      </c>
    </row>
    <row r="39" spans="1:8" x14ac:dyDescent="0.25">
      <c r="A39" s="3">
        <v>35</v>
      </c>
      <c r="B39" s="3" t="str">
        <f>IF('ET - Rectangular (PNEZD)'!B41="","",'ET - Rectangular (PNEZD)'!B41)</f>
        <v/>
      </c>
      <c r="C39" s="4" t="str">
        <f>IF('ET - Rectangular (PNEZD)'!C41="","",'ET - Rectangular (PNEZD)'!C41)</f>
        <v/>
      </c>
      <c r="D39" s="4" t="str">
        <f>IF('ET - Rectangular (PNEZD)'!D41="","",'ET - Rectangular (PNEZD)'!D41)</f>
        <v/>
      </c>
      <c r="E39" s="4" t="str">
        <f>IF('ET - Rectangular (PNEZD)'!E41="","",'ET - Rectangular (PNEZD)'!E41)</f>
        <v/>
      </c>
      <c r="F39" s="3" t="str">
        <f>IF('ET - Rectangular (PNEZD)'!F41="","",'ET - Rectangular (PNEZD)'!F41)</f>
        <v/>
      </c>
      <c r="G39" s="3" t="str">
        <f t="shared" si="1"/>
        <v/>
      </c>
      <c r="H39" s="2" t="str">
        <f>IF('ET - Rectangular (PNEZD)'!H41="","",'ET - Rectangular (PNEZD)'!H41)</f>
        <v/>
      </c>
    </row>
    <row r="40" spans="1:8" x14ac:dyDescent="0.25">
      <c r="A40" s="3">
        <v>36</v>
      </c>
      <c r="B40" s="3" t="str">
        <f>IF('ET - Rectangular (PNEZD)'!B42="","",'ET - Rectangular (PNEZD)'!B42)</f>
        <v/>
      </c>
      <c r="C40" s="4" t="str">
        <f>IF('ET - Rectangular (PNEZD)'!C42="","",'ET - Rectangular (PNEZD)'!C42)</f>
        <v/>
      </c>
      <c r="D40" s="4" t="str">
        <f>IF('ET - Rectangular (PNEZD)'!D42="","",'ET - Rectangular (PNEZD)'!D42)</f>
        <v/>
      </c>
      <c r="E40" s="4" t="str">
        <f>IF('ET - Rectangular (PNEZD)'!E42="","",'ET - Rectangular (PNEZD)'!E42)</f>
        <v/>
      </c>
      <c r="F40" s="3" t="str">
        <f>IF('ET - Rectangular (PNEZD)'!F42="","",'ET - Rectangular (PNEZD)'!F42)</f>
        <v/>
      </c>
      <c r="G40" s="3" t="str">
        <f t="shared" si="1"/>
        <v/>
      </c>
      <c r="H40" s="2" t="str">
        <f>IF('ET - Rectangular (PNEZD)'!H42="","",'ET - Rectangular (PNEZD)'!H42)</f>
        <v/>
      </c>
    </row>
    <row r="41" spans="1:8" x14ac:dyDescent="0.25">
      <c r="A41" s="3">
        <v>37</v>
      </c>
      <c r="B41" s="3" t="str">
        <f>IF('ET - Rectangular (PNEZD)'!B43="","",'ET - Rectangular (PNEZD)'!B43)</f>
        <v/>
      </c>
      <c r="C41" s="4" t="str">
        <f>IF('ET - Rectangular (PNEZD)'!C43="","",'ET - Rectangular (PNEZD)'!C43)</f>
        <v/>
      </c>
      <c r="D41" s="4" t="str">
        <f>IF('ET - Rectangular (PNEZD)'!D43="","",'ET - Rectangular (PNEZD)'!D43)</f>
        <v/>
      </c>
      <c r="E41" s="4" t="str">
        <f>IF('ET - Rectangular (PNEZD)'!E43="","",'ET - Rectangular (PNEZD)'!E43)</f>
        <v/>
      </c>
      <c r="F41" s="3" t="str">
        <f>IF('ET - Rectangular (PNEZD)'!F43="","",'ET - Rectangular (PNEZD)'!F43)</f>
        <v/>
      </c>
      <c r="G41" s="3" t="str">
        <f t="shared" si="1"/>
        <v/>
      </c>
      <c r="H41" s="2" t="str">
        <f>IF('ET - Rectangular (PNEZD)'!H43="","",'ET - Rectangular (PNEZD)'!H43)</f>
        <v/>
      </c>
    </row>
    <row r="42" spans="1:8" x14ac:dyDescent="0.25">
      <c r="A42" s="3">
        <v>38</v>
      </c>
      <c r="B42" s="3" t="str">
        <f>IF('ET - Rectangular (PNEZD)'!B44="","",'ET - Rectangular (PNEZD)'!B44)</f>
        <v/>
      </c>
      <c r="C42" s="4" t="str">
        <f>IF('ET - Rectangular (PNEZD)'!C44="","",'ET - Rectangular (PNEZD)'!C44)</f>
        <v/>
      </c>
      <c r="D42" s="4" t="str">
        <f>IF('ET - Rectangular (PNEZD)'!D44="","",'ET - Rectangular (PNEZD)'!D44)</f>
        <v/>
      </c>
      <c r="E42" s="4" t="str">
        <f>IF('ET - Rectangular (PNEZD)'!E44="","",'ET - Rectangular (PNEZD)'!E44)</f>
        <v/>
      </c>
      <c r="F42" s="3" t="str">
        <f>IF('ET - Rectangular (PNEZD)'!F44="","",'ET - Rectangular (PNEZD)'!F44)</f>
        <v/>
      </c>
      <c r="G42" s="3" t="str">
        <f t="shared" si="1"/>
        <v/>
      </c>
      <c r="H42" s="2" t="str">
        <f>IF('ET - Rectangular (PNEZD)'!H44="","",'ET - Rectangular (PNEZD)'!H44)</f>
        <v/>
      </c>
    </row>
    <row r="43" spans="1:8" x14ac:dyDescent="0.25">
      <c r="A43" s="3">
        <v>39</v>
      </c>
      <c r="B43" s="3" t="str">
        <f>IF('ET - Rectangular (PNEZD)'!B45="","",'ET - Rectangular (PNEZD)'!B45)</f>
        <v/>
      </c>
      <c r="C43" s="4" t="str">
        <f>IF('ET - Rectangular (PNEZD)'!C45="","",'ET - Rectangular (PNEZD)'!C45)</f>
        <v/>
      </c>
      <c r="D43" s="4" t="str">
        <f>IF('ET - Rectangular (PNEZD)'!D45="","",'ET - Rectangular (PNEZD)'!D45)</f>
        <v/>
      </c>
      <c r="E43" s="4" t="str">
        <f>IF('ET - Rectangular (PNEZD)'!E45="","",'ET - Rectangular (PNEZD)'!E45)</f>
        <v/>
      </c>
      <c r="F43" s="3" t="str">
        <f>IF('ET - Rectangular (PNEZD)'!F45="","",'ET - Rectangular (PNEZD)'!F45)</f>
        <v/>
      </c>
      <c r="G43" s="3" t="str">
        <f t="shared" si="1"/>
        <v/>
      </c>
      <c r="H43" s="2" t="str">
        <f>IF('ET - Rectangular (PNEZD)'!H45="","",'ET - Rectangular (PNEZD)'!H45)</f>
        <v/>
      </c>
    </row>
    <row r="44" spans="1:8" x14ac:dyDescent="0.25">
      <c r="A44" s="3">
        <v>40</v>
      </c>
      <c r="B44" s="3" t="str">
        <f>IF('ET - Rectangular (PNEZD)'!B46="","",'ET - Rectangular (PNEZD)'!B46)</f>
        <v/>
      </c>
      <c r="C44" s="4" t="str">
        <f>IF('ET - Rectangular (PNEZD)'!C46="","",'ET - Rectangular (PNEZD)'!C46)</f>
        <v/>
      </c>
      <c r="D44" s="4" t="str">
        <f>IF('ET - Rectangular (PNEZD)'!D46="","",'ET - Rectangular (PNEZD)'!D46)</f>
        <v/>
      </c>
      <c r="E44" s="4" t="str">
        <f>IF('ET - Rectangular (PNEZD)'!E46="","",'ET - Rectangular (PNEZD)'!E46)</f>
        <v/>
      </c>
      <c r="F44" s="3" t="str">
        <f>IF('ET - Rectangular (PNEZD)'!F46="","",'ET - Rectangular (PNEZD)'!F46)</f>
        <v/>
      </c>
      <c r="G44" s="3" t="str">
        <f t="shared" si="1"/>
        <v/>
      </c>
      <c r="H44" s="2" t="str">
        <f>IF('ET - Rectangular (PNEZD)'!H46="","",'ET - Rectangular (PNEZD)'!H46)</f>
        <v/>
      </c>
    </row>
    <row r="45" spans="1:8" x14ac:dyDescent="0.25">
      <c r="A45" s="3">
        <v>41</v>
      </c>
      <c r="B45" s="3" t="str">
        <f>IF('ET - Rectangular (PNEZD)'!B47="","",'ET - Rectangular (PNEZD)'!B47)</f>
        <v/>
      </c>
      <c r="C45" s="4" t="str">
        <f>IF('ET - Rectangular (PNEZD)'!C47="","",'ET - Rectangular (PNEZD)'!C47)</f>
        <v/>
      </c>
      <c r="D45" s="4" t="str">
        <f>IF('ET - Rectangular (PNEZD)'!D47="","",'ET - Rectangular (PNEZD)'!D47)</f>
        <v/>
      </c>
      <c r="E45" s="4" t="str">
        <f>IF('ET - Rectangular (PNEZD)'!E47="","",'ET - Rectangular (PNEZD)'!E47)</f>
        <v/>
      </c>
      <c r="F45" s="3" t="str">
        <f>IF('ET - Rectangular (PNEZD)'!F47="","",'ET - Rectangular (PNEZD)'!F47)</f>
        <v/>
      </c>
      <c r="G45" s="3" t="str">
        <f t="shared" si="1"/>
        <v/>
      </c>
      <c r="H45" s="2" t="str">
        <f>IF('ET - Rectangular (PNEZD)'!H47="","",'ET - Rectangular (PNEZD)'!H47)</f>
        <v/>
      </c>
    </row>
    <row r="46" spans="1:8" x14ac:dyDescent="0.25">
      <c r="A46" s="3">
        <v>42</v>
      </c>
      <c r="B46" s="3" t="str">
        <f>IF('ET - Rectangular (PNEZD)'!B48="","",'ET - Rectangular (PNEZD)'!B48)</f>
        <v/>
      </c>
      <c r="C46" s="4" t="str">
        <f>IF('ET - Rectangular (PNEZD)'!C48="","",'ET - Rectangular (PNEZD)'!C48)</f>
        <v/>
      </c>
      <c r="D46" s="4" t="str">
        <f>IF('ET - Rectangular (PNEZD)'!D48="","",'ET - Rectangular (PNEZD)'!D48)</f>
        <v/>
      </c>
      <c r="E46" s="4" t="str">
        <f>IF('ET - Rectangular (PNEZD)'!E48="","",'ET - Rectangular (PNEZD)'!E48)</f>
        <v/>
      </c>
      <c r="F46" s="3" t="str">
        <f>IF('ET - Rectangular (PNEZD)'!F48="","",'ET - Rectangular (PNEZD)'!F48)</f>
        <v/>
      </c>
      <c r="G46" s="3" t="str">
        <f t="shared" si="1"/>
        <v/>
      </c>
      <c r="H46" s="2" t="str">
        <f>IF('ET - Rectangular (PNEZD)'!H48="","",'ET - Rectangular (PNEZD)'!H48)</f>
        <v/>
      </c>
    </row>
    <row r="47" spans="1:8" x14ac:dyDescent="0.25">
      <c r="A47" s="3">
        <v>43</v>
      </c>
      <c r="B47" s="3" t="str">
        <f>IF('ET - Rectangular (PNEZD)'!B49="","",'ET - Rectangular (PNEZD)'!B49)</f>
        <v/>
      </c>
      <c r="C47" s="4" t="str">
        <f>IF('ET - Rectangular (PNEZD)'!C49="","",'ET - Rectangular (PNEZD)'!C49)</f>
        <v/>
      </c>
      <c r="D47" s="4" t="str">
        <f>IF('ET - Rectangular (PNEZD)'!D49="","",'ET - Rectangular (PNEZD)'!D49)</f>
        <v/>
      </c>
      <c r="E47" s="4" t="str">
        <f>IF('ET - Rectangular (PNEZD)'!E49="","",'ET - Rectangular (PNEZD)'!E49)</f>
        <v/>
      </c>
      <c r="F47" s="3" t="str">
        <f>IF('ET - Rectangular (PNEZD)'!F49="","",'ET - Rectangular (PNEZD)'!F49)</f>
        <v/>
      </c>
      <c r="G47" s="3" t="str">
        <f t="shared" si="1"/>
        <v/>
      </c>
      <c r="H47" s="2" t="str">
        <f>IF('ET - Rectangular (PNEZD)'!H49="","",'ET - Rectangular (PNEZD)'!H49)</f>
        <v/>
      </c>
    </row>
    <row r="48" spans="1:8" x14ac:dyDescent="0.25">
      <c r="A48" s="3">
        <v>44</v>
      </c>
      <c r="B48" s="3" t="str">
        <f>IF('ET - Rectangular (PNEZD)'!B50="","",'ET - Rectangular (PNEZD)'!B50)</f>
        <v/>
      </c>
      <c r="C48" s="4" t="str">
        <f>IF('ET - Rectangular (PNEZD)'!C50="","",'ET - Rectangular (PNEZD)'!C50)</f>
        <v/>
      </c>
      <c r="D48" s="4" t="str">
        <f>IF('ET - Rectangular (PNEZD)'!D50="","",'ET - Rectangular (PNEZD)'!D50)</f>
        <v/>
      </c>
      <c r="E48" s="4" t="str">
        <f>IF('ET - Rectangular (PNEZD)'!E50="","",'ET - Rectangular (PNEZD)'!E50)</f>
        <v/>
      </c>
      <c r="F48" s="3" t="str">
        <f>IF('ET - Rectangular (PNEZD)'!F50="","",'ET - Rectangular (PNEZD)'!F50)</f>
        <v/>
      </c>
      <c r="G48" s="3" t="str">
        <f t="shared" si="1"/>
        <v/>
      </c>
      <c r="H48" s="2" t="str">
        <f>IF('ET - Rectangular (PNEZD)'!H50="","",'ET - Rectangular (PNEZD)'!H50)</f>
        <v/>
      </c>
    </row>
    <row r="49" spans="1:8" x14ac:dyDescent="0.25">
      <c r="A49" s="3">
        <v>45</v>
      </c>
      <c r="B49" s="3" t="str">
        <f>IF('ET - Rectangular (PNEZD)'!B51="","",'ET - Rectangular (PNEZD)'!B51)</f>
        <v/>
      </c>
      <c r="C49" s="4" t="str">
        <f>IF('ET - Rectangular (PNEZD)'!C51="","",'ET - Rectangular (PNEZD)'!C51)</f>
        <v/>
      </c>
      <c r="D49" s="4" t="str">
        <f>IF('ET - Rectangular (PNEZD)'!D51="","",'ET - Rectangular (PNEZD)'!D51)</f>
        <v/>
      </c>
      <c r="E49" s="4" t="str">
        <f>IF('ET - Rectangular (PNEZD)'!E51="","",'ET - Rectangular (PNEZD)'!E51)</f>
        <v/>
      </c>
      <c r="F49" s="3" t="str">
        <f>IF('ET - Rectangular (PNEZD)'!F51="","",'ET - Rectangular (PNEZD)'!F51)</f>
        <v/>
      </c>
      <c r="G49" s="3" t="str">
        <f t="shared" si="1"/>
        <v/>
      </c>
      <c r="H49" s="2" t="str">
        <f>IF('ET - Rectangular (PNEZD)'!H51="","",'ET - Rectangular (PNEZD)'!H51)</f>
        <v/>
      </c>
    </row>
    <row r="50" spans="1:8" x14ac:dyDescent="0.25">
      <c r="A50" s="3">
        <v>46</v>
      </c>
      <c r="B50" s="3" t="str">
        <f>IF('ET - Rectangular (PNEZD)'!B52="","",'ET - Rectangular (PNEZD)'!B52)</f>
        <v/>
      </c>
      <c r="C50" s="4" t="str">
        <f>IF('ET - Rectangular (PNEZD)'!C52="","",'ET - Rectangular (PNEZD)'!C52)</f>
        <v/>
      </c>
      <c r="D50" s="4" t="str">
        <f>IF('ET - Rectangular (PNEZD)'!D52="","",'ET - Rectangular (PNEZD)'!D52)</f>
        <v/>
      </c>
      <c r="E50" s="4" t="str">
        <f>IF('ET - Rectangular (PNEZD)'!E52="","",'ET - Rectangular (PNEZD)'!E52)</f>
        <v/>
      </c>
      <c r="F50" s="3" t="str">
        <f>IF('ET - Rectangular (PNEZD)'!F52="","",'ET - Rectangular (PNEZD)'!F52)</f>
        <v/>
      </c>
      <c r="G50" s="3" t="str">
        <f t="shared" si="1"/>
        <v/>
      </c>
      <c r="H50" s="2" t="str">
        <f>IF('ET - Rectangular (PNEZD)'!H52="","",'ET - Rectangular (PNEZD)'!H52)</f>
        <v/>
      </c>
    </row>
    <row r="51" spans="1:8" x14ac:dyDescent="0.25">
      <c r="A51" s="3">
        <v>47</v>
      </c>
      <c r="B51" s="3" t="str">
        <f>IF('ET - Rectangular (PNEZD)'!B53="","",'ET - Rectangular (PNEZD)'!B53)</f>
        <v/>
      </c>
      <c r="C51" s="4" t="str">
        <f>IF('ET - Rectangular (PNEZD)'!C53="","",'ET - Rectangular (PNEZD)'!C53)</f>
        <v/>
      </c>
      <c r="D51" s="4" t="str">
        <f>IF('ET - Rectangular (PNEZD)'!D53="","",'ET - Rectangular (PNEZD)'!D53)</f>
        <v/>
      </c>
      <c r="E51" s="4" t="str">
        <f>IF('ET - Rectangular (PNEZD)'!E53="","",'ET - Rectangular (PNEZD)'!E53)</f>
        <v/>
      </c>
      <c r="F51" s="3" t="str">
        <f>IF('ET - Rectangular (PNEZD)'!F53="","",'ET - Rectangular (PNEZD)'!F53)</f>
        <v/>
      </c>
      <c r="G51" s="3" t="str">
        <f t="shared" si="1"/>
        <v/>
      </c>
      <c r="H51" s="2" t="str">
        <f>IF('ET - Rectangular (PNEZD)'!H53="","",'ET - Rectangular (PNEZD)'!H53)</f>
        <v/>
      </c>
    </row>
    <row r="52" spans="1:8" x14ac:dyDescent="0.25">
      <c r="A52" s="3">
        <v>48</v>
      </c>
      <c r="B52" s="3" t="str">
        <f>IF('ET - Rectangular (PNEZD)'!B54="","",'ET - Rectangular (PNEZD)'!B54)</f>
        <v/>
      </c>
      <c r="C52" s="4" t="str">
        <f>IF('ET - Rectangular (PNEZD)'!C54="","",'ET - Rectangular (PNEZD)'!C54)</f>
        <v/>
      </c>
      <c r="D52" s="4" t="str">
        <f>IF('ET - Rectangular (PNEZD)'!D54="","",'ET - Rectangular (PNEZD)'!D54)</f>
        <v/>
      </c>
      <c r="E52" s="4" t="str">
        <f>IF('ET - Rectangular (PNEZD)'!E54="","",'ET - Rectangular (PNEZD)'!E54)</f>
        <v/>
      </c>
      <c r="F52" s="3" t="str">
        <f>IF('ET - Rectangular (PNEZD)'!F54="","",'ET - Rectangular (PNEZD)'!F54)</f>
        <v/>
      </c>
      <c r="G52" s="3" t="str">
        <f t="shared" si="1"/>
        <v/>
      </c>
      <c r="H52" s="2" t="str">
        <f>IF('ET - Rectangular (PNEZD)'!H54="","",'ET - Rectangular (PNEZD)'!H54)</f>
        <v/>
      </c>
    </row>
    <row r="53" spans="1:8" x14ac:dyDescent="0.25">
      <c r="A53" s="3">
        <v>49</v>
      </c>
      <c r="B53" s="3" t="str">
        <f>IF('ET - Rectangular (PNEZD)'!B55="","",'ET - Rectangular (PNEZD)'!B55)</f>
        <v/>
      </c>
      <c r="C53" s="4" t="str">
        <f>IF('ET - Rectangular (PNEZD)'!C55="","",'ET - Rectangular (PNEZD)'!C55)</f>
        <v/>
      </c>
      <c r="D53" s="4" t="str">
        <f>IF('ET - Rectangular (PNEZD)'!D55="","",'ET - Rectangular (PNEZD)'!D55)</f>
        <v/>
      </c>
      <c r="E53" s="4" t="str">
        <f>IF('ET - Rectangular (PNEZD)'!E55="","",'ET - Rectangular (PNEZD)'!E55)</f>
        <v/>
      </c>
      <c r="F53" s="3" t="str">
        <f>IF('ET - Rectangular (PNEZD)'!F55="","",'ET - Rectangular (PNEZD)'!F55)</f>
        <v/>
      </c>
      <c r="G53" s="3" t="str">
        <f t="shared" si="1"/>
        <v/>
      </c>
      <c r="H53" s="2" t="str">
        <f>IF('ET - Rectangular (PNEZD)'!H55="","",'ET - Rectangular (PNEZD)'!H55)</f>
        <v/>
      </c>
    </row>
    <row r="54" spans="1:8" x14ac:dyDescent="0.25">
      <c r="A54" s="3">
        <v>50</v>
      </c>
      <c r="B54" s="3" t="str">
        <f>IF('ET - Rectangular (PNEZD)'!B56="","",'ET - Rectangular (PNEZD)'!B56)</f>
        <v/>
      </c>
      <c r="C54" s="4" t="str">
        <f>IF('ET - Rectangular (PNEZD)'!C56="","",'ET - Rectangular (PNEZD)'!C56)</f>
        <v/>
      </c>
      <c r="D54" s="4" t="str">
        <f>IF('ET - Rectangular (PNEZD)'!D56="","",'ET - Rectangular (PNEZD)'!D56)</f>
        <v/>
      </c>
      <c r="E54" s="4" t="str">
        <f>IF('ET - Rectangular (PNEZD)'!E56="","",'ET - Rectangular (PNEZD)'!E56)</f>
        <v/>
      </c>
      <c r="F54" s="3" t="str">
        <f>IF('ET - Rectangular (PNEZD)'!F56="","",'ET - Rectangular (PNEZD)'!F56)</f>
        <v/>
      </c>
      <c r="G54" s="3" t="str">
        <f t="shared" si="1"/>
        <v/>
      </c>
      <c r="H54" s="2" t="str">
        <f>IF('ET - Rectangular (PNEZD)'!H56="","",'ET - Rectangular (PNEZD)'!H56)</f>
        <v/>
      </c>
    </row>
    <row r="55" spans="1:8" x14ac:dyDescent="0.25">
      <c r="A55" s="3">
        <v>51</v>
      </c>
      <c r="B55" s="3" t="str">
        <f>IF('ET - Rectangular (PNEZD)'!B57="","",'ET - Rectangular (PNEZD)'!B57)</f>
        <v/>
      </c>
      <c r="C55" s="4" t="str">
        <f>IF('ET - Rectangular (PNEZD)'!C57="","",'ET - Rectangular (PNEZD)'!C57)</f>
        <v/>
      </c>
      <c r="D55" s="4" t="str">
        <f>IF('ET - Rectangular (PNEZD)'!D57="","",'ET - Rectangular (PNEZD)'!D57)</f>
        <v/>
      </c>
      <c r="E55" s="4" t="str">
        <f>IF('ET - Rectangular (PNEZD)'!E57="","",'ET - Rectangular (PNEZD)'!E57)</f>
        <v/>
      </c>
      <c r="F55" s="3" t="str">
        <f>IF('ET - Rectangular (PNEZD)'!F57="","",'ET - Rectangular (PNEZD)'!F57)</f>
        <v/>
      </c>
      <c r="G55" s="3" t="str">
        <f t="shared" si="1"/>
        <v/>
      </c>
      <c r="H55" s="2" t="str">
        <f>IF('ET - Rectangular (PNEZD)'!H57="","",'ET - Rectangular (PNEZD)'!H57)</f>
        <v/>
      </c>
    </row>
    <row r="56" spans="1:8" x14ac:dyDescent="0.25">
      <c r="A56" s="3">
        <v>52</v>
      </c>
      <c r="B56" s="3" t="str">
        <f>IF('ET - Rectangular (PNEZD)'!B58="","",'ET - Rectangular (PNEZD)'!B58)</f>
        <v/>
      </c>
      <c r="C56" s="4" t="str">
        <f>IF('ET - Rectangular (PNEZD)'!C58="","",'ET - Rectangular (PNEZD)'!C58)</f>
        <v/>
      </c>
      <c r="D56" s="4" t="str">
        <f>IF('ET - Rectangular (PNEZD)'!D58="","",'ET - Rectangular (PNEZD)'!D58)</f>
        <v/>
      </c>
      <c r="E56" s="4" t="str">
        <f>IF('ET - Rectangular (PNEZD)'!E58="","",'ET - Rectangular (PNEZD)'!E58)</f>
        <v/>
      </c>
      <c r="F56" s="3" t="str">
        <f>IF('ET - Rectangular (PNEZD)'!F58="","",'ET - Rectangular (PNEZD)'!F58)</f>
        <v/>
      </c>
      <c r="G56" s="3" t="str">
        <f t="shared" si="1"/>
        <v/>
      </c>
      <c r="H56" s="2" t="str">
        <f>IF('ET - Rectangular (PNEZD)'!H58="","",'ET - Rectangular (PNEZD)'!H58)</f>
        <v/>
      </c>
    </row>
    <row r="57" spans="1:8" x14ac:dyDescent="0.25">
      <c r="A57" s="3">
        <v>53</v>
      </c>
      <c r="B57" s="3" t="str">
        <f>IF('ET - Rectangular (PNEZD)'!B59="","",'ET - Rectangular (PNEZD)'!B59)</f>
        <v/>
      </c>
      <c r="C57" s="4" t="str">
        <f>IF('ET - Rectangular (PNEZD)'!C59="","",'ET - Rectangular (PNEZD)'!C59)</f>
        <v/>
      </c>
      <c r="D57" s="4" t="str">
        <f>IF('ET - Rectangular (PNEZD)'!D59="","",'ET - Rectangular (PNEZD)'!D59)</f>
        <v/>
      </c>
      <c r="E57" s="4" t="str">
        <f>IF('ET - Rectangular (PNEZD)'!E59="","",'ET - Rectangular (PNEZD)'!E59)</f>
        <v/>
      </c>
      <c r="F57" s="3" t="str">
        <f>IF('ET - Rectangular (PNEZD)'!F59="","",'ET - Rectangular (PNEZD)'!F59)</f>
        <v/>
      </c>
      <c r="G57" s="3" t="str">
        <f t="shared" si="1"/>
        <v/>
      </c>
      <c r="H57" s="2" t="str">
        <f>IF('ET - Rectangular (PNEZD)'!H59="","",'ET - Rectangular (PNEZD)'!H59)</f>
        <v/>
      </c>
    </row>
    <row r="58" spans="1:8" x14ac:dyDescent="0.25">
      <c r="A58" s="3">
        <v>54</v>
      </c>
      <c r="B58" s="3" t="str">
        <f>IF('ET - Rectangular (PNEZD)'!B60="","",'ET - Rectangular (PNEZD)'!B60)</f>
        <v/>
      </c>
      <c r="C58" s="4" t="str">
        <f>IF('ET - Rectangular (PNEZD)'!C60="","",'ET - Rectangular (PNEZD)'!C60)</f>
        <v/>
      </c>
      <c r="D58" s="4" t="str">
        <f>IF('ET - Rectangular (PNEZD)'!D60="","",'ET - Rectangular (PNEZD)'!D60)</f>
        <v/>
      </c>
      <c r="E58" s="4" t="str">
        <f>IF('ET - Rectangular (PNEZD)'!E60="","",'ET - Rectangular (PNEZD)'!E60)</f>
        <v/>
      </c>
      <c r="F58" s="3" t="str">
        <f>IF('ET - Rectangular (PNEZD)'!F60="","",'ET - Rectangular (PNEZD)'!F60)</f>
        <v/>
      </c>
      <c r="G58" s="3" t="str">
        <f t="shared" si="1"/>
        <v/>
      </c>
      <c r="H58" s="2" t="str">
        <f>IF('ET - Rectangular (PNEZD)'!H60="","",'ET - Rectangular (PNEZD)'!H60)</f>
        <v/>
      </c>
    </row>
    <row r="59" spans="1:8" x14ac:dyDescent="0.25">
      <c r="A59" s="3">
        <v>55</v>
      </c>
      <c r="B59" s="3" t="str">
        <f>IF('ET - Rectangular (PNEZD)'!B61="","",'ET - Rectangular (PNEZD)'!B61)</f>
        <v/>
      </c>
      <c r="C59" s="4" t="str">
        <f>IF('ET - Rectangular (PNEZD)'!C61="","",'ET - Rectangular (PNEZD)'!C61)</f>
        <v/>
      </c>
      <c r="D59" s="4" t="str">
        <f>IF('ET - Rectangular (PNEZD)'!D61="","",'ET - Rectangular (PNEZD)'!D61)</f>
        <v/>
      </c>
      <c r="E59" s="4" t="str">
        <f>IF('ET - Rectangular (PNEZD)'!E61="","",'ET - Rectangular (PNEZD)'!E61)</f>
        <v/>
      </c>
      <c r="F59" s="3" t="str">
        <f>IF('ET - Rectangular (PNEZD)'!F61="","",'ET - Rectangular (PNEZD)'!F61)</f>
        <v/>
      </c>
      <c r="G59" s="3" t="str">
        <f t="shared" si="1"/>
        <v/>
      </c>
      <c r="H59" s="2" t="str">
        <f>IF('ET - Rectangular (PNEZD)'!H61="","",'ET - Rectangular (PNEZD)'!H61)</f>
        <v/>
      </c>
    </row>
    <row r="60" spans="1:8" x14ac:dyDescent="0.25">
      <c r="A60" s="3">
        <v>56</v>
      </c>
      <c r="B60" s="3" t="str">
        <f>IF('ET - Rectangular (PNEZD)'!B62="","",'ET - Rectangular (PNEZD)'!B62)</f>
        <v/>
      </c>
      <c r="C60" s="4" t="str">
        <f>IF('ET - Rectangular (PNEZD)'!C62="","",'ET - Rectangular (PNEZD)'!C62)</f>
        <v/>
      </c>
      <c r="D60" s="4" t="str">
        <f>IF('ET - Rectangular (PNEZD)'!D62="","",'ET - Rectangular (PNEZD)'!D62)</f>
        <v/>
      </c>
      <c r="E60" s="4" t="str">
        <f>IF('ET - Rectangular (PNEZD)'!E62="","",'ET - Rectangular (PNEZD)'!E62)</f>
        <v/>
      </c>
      <c r="F60" s="3" t="str">
        <f>IF('ET - Rectangular (PNEZD)'!F62="","",'ET - Rectangular (PNEZD)'!F62)</f>
        <v/>
      </c>
      <c r="G60" s="3" t="str">
        <f t="shared" si="1"/>
        <v/>
      </c>
      <c r="H60" s="2" t="str">
        <f>IF('ET - Rectangular (PNEZD)'!H62="","",'ET - Rectangular (PNEZD)'!H62)</f>
        <v/>
      </c>
    </row>
    <row r="61" spans="1:8" x14ac:dyDescent="0.25">
      <c r="A61" s="3">
        <v>57</v>
      </c>
      <c r="B61" s="3" t="str">
        <f>IF('ET - Rectangular (PNEZD)'!B63="","",'ET - Rectangular (PNEZD)'!B63)</f>
        <v/>
      </c>
      <c r="C61" s="4" t="str">
        <f>IF('ET - Rectangular (PNEZD)'!C63="","",'ET - Rectangular (PNEZD)'!C63)</f>
        <v/>
      </c>
      <c r="D61" s="4" t="str">
        <f>IF('ET - Rectangular (PNEZD)'!D63="","",'ET - Rectangular (PNEZD)'!D63)</f>
        <v/>
      </c>
      <c r="E61" s="4" t="str">
        <f>IF('ET - Rectangular (PNEZD)'!E63="","",'ET - Rectangular (PNEZD)'!E63)</f>
        <v/>
      </c>
      <c r="F61" s="3" t="str">
        <f>IF('ET - Rectangular (PNEZD)'!F63="","",'ET - Rectangular (PNEZD)'!F63)</f>
        <v/>
      </c>
      <c r="G61" s="3" t="str">
        <f t="shared" si="1"/>
        <v/>
      </c>
      <c r="H61" s="2" t="str">
        <f>IF('ET - Rectangular (PNEZD)'!H63="","",'ET - Rectangular (PNEZD)'!H63)</f>
        <v/>
      </c>
    </row>
    <row r="62" spans="1:8" x14ac:dyDescent="0.25">
      <c r="A62" s="3">
        <v>58</v>
      </c>
      <c r="B62" s="3" t="str">
        <f>IF('ET - Rectangular (PNEZD)'!B64="","",'ET - Rectangular (PNEZD)'!B64)</f>
        <v/>
      </c>
      <c r="C62" s="4" t="str">
        <f>IF('ET - Rectangular (PNEZD)'!C64="","",'ET - Rectangular (PNEZD)'!C64)</f>
        <v/>
      </c>
      <c r="D62" s="4" t="str">
        <f>IF('ET - Rectangular (PNEZD)'!D64="","",'ET - Rectangular (PNEZD)'!D64)</f>
        <v/>
      </c>
      <c r="E62" s="4" t="str">
        <f>IF('ET - Rectangular (PNEZD)'!E64="","",'ET - Rectangular (PNEZD)'!E64)</f>
        <v/>
      </c>
      <c r="F62" s="3" t="str">
        <f>IF('ET - Rectangular (PNEZD)'!F64="","",'ET - Rectangular (PNEZD)'!F64)</f>
        <v/>
      </c>
      <c r="G62" s="3" t="str">
        <f t="shared" si="1"/>
        <v/>
      </c>
      <c r="H62" s="2" t="str">
        <f>IF('ET - Rectangular (PNEZD)'!H64="","",'ET - Rectangular (PNEZD)'!H64)</f>
        <v/>
      </c>
    </row>
    <row r="63" spans="1:8" x14ac:dyDescent="0.25">
      <c r="A63" s="3">
        <v>59</v>
      </c>
      <c r="B63" s="3" t="str">
        <f>IF('ET - Rectangular (PNEZD)'!B65="","",'ET - Rectangular (PNEZD)'!B65)</f>
        <v/>
      </c>
      <c r="C63" s="4" t="str">
        <f>IF('ET - Rectangular (PNEZD)'!C65="","",'ET - Rectangular (PNEZD)'!C65)</f>
        <v/>
      </c>
      <c r="D63" s="4" t="str">
        <f>IF('ET - Rectangular (PNEZD)'!D65="","",'ET - Rectangular (PNEZD)'!D65)</f>
        <v/>
      </c>
      <c r="E63" s="4" t="str">
        <f>IF('ET - Rectangular (PNEZD)'!E65="","",'ET - Rectangular (PNEZD)'!E65)</f>
        <v/>
      </c>
      <c r="F63" s="3" t="str">
        <f>IF('ET - Rectangular (PNEZD)'!F65="","",'ET - Rectangular (PNEZD)'!F65)</f>
        <v/>
      </c>
      <c r="G63" s="3" t="str">
        <f t="shared" si="1"/>
        <v/>
      </c>
      <c r="H63" s="2" t="str">
        <f>IF('ET - Rectangular (PNEZD)'!H65="","",'ET - Rectangular (PNEZD)'!H65)</f>
        <v/>
      </c>
    </row>
    <row r="64" spans="1:8" x14ac:dyDescent="0.25">
      <c r="A64" s="3">
        <v>60</v>
      </c>
      <c r="B64" s="3" t="str">
        <f>IF('ET - Rectangular (PNEZD)'!B66="","",'ET - Rectangular (PNEZD)'!B66)</f>
        <v/>
      </c>
      <c r="C64" s="4" t="str">
        <f>IF('ET - Rectangular (PNEZD)'!C66="","",'ET - Rectangular (PNEZD)'!C66)</f>
        <v/>
      </c>
      <c r="D64" s="4" t="str">
        <f>IF('ET - Rectangular (PNEZD)'!D66="","",'ET - Rectangular (PNEZD)'!D66)</f>
        <v/>
      </c>
      <c r="E64" s="4" t="str">
        <f>IF('ET - Rectangular (PNEZD)'!E66="","",'ET - Rectangular (PNEZD)'!E66)</f>
        <v/>
      </c>
      <c r="F64" s="3" t="str">
        <f>IF('ET - Rectangular (PNEZD)'!F66="","",'ET - Rectangular (PNEZD)'!F66)</f>
        <v/>
      </c>
      <c r="G64" s="3" t="str">
        <f t="shared" si="1"/>
        <v/>
      </c>
      <c r="H64" s="2" t="str">
        <f>IF('ET - Rectangular (PNEZD)'!H66="","",'ET - Rectangular (PNEZD)'!H66)</f>
        <v/>
      </c>
    </row>
    <row r="65" spans="1:8" x14ac:dyDescent="0.25">
      <c r="A65" s="3">
        <v>61</v>
      </c>
      <c r="B65" s="3" t="str">
        <f>IF('ET - Rectangular (PNEZD)'!B67="","",'ET - Rectangular (PNEZD)'!B67)</f>
        <v/>
      </c>
      <c r="C65" s="4" t="str">
        <f>IF('ET - Rectangular (PNEZD)'!C67="","",'ET - Rectangular (PNEZD)'!C67)</f>
        <v/>
      </c>
      <c r="D65" s="4" t="str">
        <f>IF('ET - Rectangular (PNEZD)'!D67="","",'ET - Rectangular (PNEZD)'!D67)</f>
        <v/>
      </c>
      <c r="E65" s="4" t="str">
        <f>IF('ET - Rectangular (PNEZD)'!E67="","",'ET - Rectangular (PNEZD)'!E67)</f>
        <v/>
      </c>
      <c r="F65" s="3" t="str">
        <f>IF('ET - Rectangular (PNEZD)'!F67="","",'ET - Rectangular (PNEZD)'!F67)</f>
        <v/>
      </c>
      <c r="G65" s="3" t="str">
        <f t="shared" si="1"/>
        <v/>
      </c>
      <c r="H65" s="2" t="str">
        <f>IF('ET - Rectangular (PNEZD)'!H67="","",'ET - Rectangular (PNEZD)'!H67)</f>
        <v/>
      </c>
    </row>
    <row r="66" spans="1:8" x14ac:dyDescent="0.25">
      <c r="A66" s="3">
        <v>62</v>
      </c>
      <c r="B66" s="3" t="str">
        <f>IF('ET - Rectangular (PNEZD)'!B68="","",'ET - Rectangular (PNEZD)'!B68)</f>
        <v/>
      </c>
      <c r="C66" s="4" t="str">
        <f>IF('ET - Rectangular (PNEZD)'!C68="","",'ET - Rectangular (PNEZD)'!C68)</f>
        <v/>
      </c>
      <c r="D66" s="4" t="str">
        <f>IF('ET - Rectangular (PNEZD)'!D68="","",'ET - Rectangular (PNEZD)'!D68)</f>
        <v/>
      </c>
      <c r="E66" s="4" t="str">
        <f>IF('ET - Rectangular (PNEZD)'!E68="","",'ET - Rectangular (PNEZD)'!E68)</f>
        <v/>
      </c>
      <c r="F66" s="3" t="str">
        <f>IF('ET - Rectangular (PNEZD)'!F68="","",'ET - Rectangular (PNEZD)'!F68)</f>
        <v/>
      </c>
      <c r="G66" s="3" t="str">
        <f t="shared" si="1"/>
        <v/>
      </c>
      <c r="H66" s="2" t="str">
        <f>IF('ET - Rectangular (PNEZD)'!H68="","",'ET - Rectangular (PNEZD)'!H68)</f>
        <v/>
      </c>
    </row>
    <row r="67" spans="1:8" x14ac:dyDescent="0.25">
      <c r="A67" s="3">
        <v>63</v>
      </c>
      <c r="B67" s="3" t="str">
        <f>IF('ET - Rectangular (PNEZD)'!B69="","",'ET - Rectangular (PNEZD)'!B69)</f>
        <v/>
      </c>
      <c r="C67" s="4" t="str">
        <f>IF('ET - Rectangular (PNEZD)'!C69="","",'ET - Rectangular (PNEZD)'!C69)</f>
        <v/>
      </c>
      <c r="D67" s="4" t="str">
        <f>IF('ET - Rectangular (PNEZD)'!D69="","",'ET - Rectangular (PNEZD)'!D69)</f>
        <v/>
      </c>
      <c r="E67" s="4" t="str">
        <f>IF('ET - Rectangular (PNEZD)'!E69="","",'ET - Rectangular (PNEZD)'!E69)</f>
        <v/>
      </c>
      <c r="F67" s="3" t="str">
        <f>IF('ET - Rectangular (PNEZD)'!F69="","",'ET - Rectangular (PNEZD)'!F69)</f>
        <v/>
      </c>
      <c r="G67" s="3" t="str">
        <f t="shared" si="1"/>
        <v/>
      </c>
      <c r="H67" s="2" t="str">
        <f>IF('ET - Rectangular (PNEZD)'!H69="","",'ET - Rectangular (PNEZD)'!H69)</f>
        <v/>
      </c>
    </row>
    <row r="68" spans="1:8" x14ac:dyDescent="0.25">
      <c r="A68" s="3">
        <v>64</v>
      </c>
      <c r="B68" s="3" t="str">
        <f>IF('ET - Rectangular (PNEZD)'!B70="","",'ET - Rectangular (PNEZD)'!B70)</f>
        <v/>
      </c>
      <c r="C68" s="4" t="str">
        <f>IF('ET - Rectangular (PNEZD)'!C70="","",'ET - Rectangular (PNEZD)'!C70)</f>
        <v/>
      </c>
      <c r="D68" s="4" t="str">
        <f>IF('ET - Rectangular (PNEZD)'!D70="","",'ET - Rectangular (PNEZD)'!D70)</f>
        <v/>
      </c>
      <c r="E68" s="4" t="str">
        <f>IF('ET - Rectangular (PNEZD)'!E70="","",'ET - Rectangular (PNEZD)'!E70)</f>
        <v/>
      </c>
      <c r="F68" s="3" t="str">
        <f>IF('ET - Rectangular (PNEZD)'!F70="","",'ET - Rectangular (PNEZD)'!F70)</f>
        <v/>
      </c>
      <c r="G68" s="3" t="str">
        <f t="shared" si="1"/>
        <v/>
      </c>
      <c r="H68" s="2" t="str">
        <f>IF('ET - Rectangular (PNEZD)'!H70="","",'ET - Rectangular (PNEZD)'!H70)</f>
        <v/>
      </c>
    </row>
    <row r="69" spans="1:8" x14ac:dyDescent="0.25">
      <c r="A69" s="3">
        <v>65</v>
      </c>
      <c r="B69" s="3" t="str">
        <f>IF('ET - Rectangular (PNEZD)'!B71="","",'ET - Rectangular (PNEZD)'!B71)</f>
        <v/>
      </c>
      <c r="C69" s="4" t="str">
        <f>IF('ET - Rectangular (PNEZD)'!C71="","",'ET - Rectangular (PNEZD)'!C71)</f>
        <v/>
      </c>
      <c r="D69" s="4" t="str">
        <f>IF('ET - Rectangular (PNEZD)'!D71="","",'ET - Rectangular (PNEZD)'!D71)</f>
        <v/>
      </c>
      <c r="E69" s="4" t="str">
        <f>IF('ET - Rectangular (PNEZD)'!E71="","",'ET - Rectangular (PNEZD)'!E71)</f>
        <v/>
      </c>
      <c r="F69" s="3" t="str">
        <f>IF('ET - Rectangular (PNEZD)'!F71="","",'ET - Rectangular (PNEZD)'!F71)</f>
        <v/>
      </c>
      <c r="G69" s="3" t="str">
        <f t="shared" ref="G69:G100" si="2">IF(B69="","","ET Rect.")</f>
        <v/>
      </c>
      <c r="H69" s="2" t="str">
        <f>IF('ET - Rectangular (PNEZD)'!H71="","",'ET - Rectangular (PNEZD)'!H71)</f>
        <v/>
      </c>
    </row>
    <row r="70" spans="1:8" x14ac:dyDescent="0.25">
      <c r="A70" s="3">
        <v>66</v>
      </c>
      <c r="B70" s="3" t="str">
        <f>IF('ET - Rectangular (PNEZD)'!B72="","",'ET - Rectangular (PNEZD)'!B72)</f>
        <v/>
      </c>
      <c r="C70" s="4" t="str">
        <f>IF('ET - Rectangular (PNEZD)'!C72="","",'ET - Rectangular (PNEZD)'!C72)</f>
        <v/>
      </c>
      <c r="D70" s="4" t="str">
        <f>IF('ET - Rectangular (PNEZD)'!D72="","",'ET - Rectangular (PNEZD)'!D72)</f>
        <v/>
      </c>
      <c r="E70" s="4" t="str">
        <f>IF('ET - Rectangular (PNEZD)'!E72="","",'ET - Rectangular (PNEZD)'!E72)</f>
        <v/>
      </c>
      <c r="F70" s="3" t="str">
        <f>IF('ET - Rectangular (PNEZD)'!F72="","",'ET - Rectangular (PNEZD)'!F72)</f>
        <v/>
      </c>
      <c r="G70" s="3" t="str">
        <f t="shared" si="2"/>
        <v/>
      </c>
      <c r="H70" s="2" t="str">
        <f>IF('ET - Rectangular (PNEZD)'!H72="","",'ET - Rectangular (PNEZD)'!H72)</f>
        <v/>
      </c>
    </row>
    <row r="71" spans="1:8" x14ac:dyDescent="0.25">
      <c r="A71" s="3">
        <v>67</v>
      </c>
      <c r="B71" s="3" t="str">
        <f>IF('ET - Rectangular (PNEZD)'!B73="","",'ET - Rectangular (PNEZD)'!B73)</f>
        <v/>
      </c>
      <c r="C71" s="4" t="str">
        <f>IF('ET - Rectangular (PNEZD)'!C73="","",'ET - Rectangular (PNEZD)'!C73)</f>
        <v/>
      </c>
      <c r="D71" s="4" t="str">
        <f>IF('ET - Rectangular (PNEZD)'!D73="","",'ET - Rectangular (PNEZD)'!D73)</f>
        <v/>
      </c>
      <c r="E71" s="4" t="str">
        <f>IF('ET - Rectangular (PNEZD)'!E73="","",'ET - Rectangular (PNEZD)'!E73)</f>
        <v/>
      </c>
      <c r="F71" s="3" t="str">
        <f>IF('ET - Rectangular (PNEZD)'!F73="","",'ET - Rectangular (PNEZD)'!F73)</f>
        <v/>
      </c>
      <c r="G71" s="3" t="str">
        <f t="shared" si="2"/>
        <v/>
      </c>
      <c r="H71" s="2" t="str">
        <f>IF('ET - Rectangular (PNEZD)'!H73="","",'ET - Rectangular (PNEZD)'!H73)</f>
        <v/>
      </c>
    </row>
    <row r="72" spans="1:8" x14ac:dyDescent="0.25">
      <c r="A72" s="3">
        <v>68</v>
      </c>
      <c r="B72" s="3" t="str">
        <f>IF('ET - Rectangular (PNEZD)'!B74="","",'ET - Rectangular (PNEZD)'!B74)</f>
        <v/>
      </c>
      <c r="C72" s="4" t="str">
        <f>IF('ET - Rectangular (PNEZD)'!C74="","",'ET - Rectangular (PNEZD)'!C74)</f>
        <v/>
      </c>
      <c r="D72" s="4" t="str">
        <f>IF('ET - Rectangular (PNEZD)'!D74="","",'ET - Rectangular (PNEZD)'!D74)</f>
        <v/>
      </c>
      <c r="E72" s="4" t="str">
        <f>IF('ET - Rectangular (PNEZD)'!E74="","",'ET - Rectangular (PNEZD)'!E74)</f>
        <v/>
      </c>
      <c r="F72" s="3" t="str">
        <f>IF('ET - Rectangular (PNEZD)'!F74="","",'ET - Rectangular (PNEZD)'!F74)</f>
        <v/>
      </c>
      <c r="G72" s="3" t="str">
        <f t="shared" si="2"/>
        <v/>
      </c>
      <c r="H72" s="2" t="str">
        <f>IF('ET - Rectangular (PNEZD)'!H74="","",'ET - Rectangular (PNEZD)'!H74)</f>
        <v/>
      </c>
    </row>
    <row r="73" spans="1:8" x14ac:dyDescent="0.25">
      <c r="A73" s="3">
        <v>69</v>
      </c>
      <c r="B73" s="3" t="str">
        <f>IF('ET - Rectangular (PNEZD)'!B75="","",'ET - Rectangular (PNEZD)'!B75)</f>
        <v/>
      </c>
      <c r="C73" s="4" t="str">
        <f>IF('ET - Rectangular (PNEZD)'!C75="","",'ET - Rectangular (PNEZD)'!C75)</f>
        <v/>
      </c>
      <c r="D73" s="4" t="str">
        <f>IF('ET - Rectangular (PNEZD)'!D75="","",'ET - Rectangular (PNEZD)'!D75)</f>
        <v/>
      </c>
      <c r="E73" s="4" t="str">
        <f>IF('ET - Rectangular (PNEZD)'!E75="","",'ET - Rectangular (PNEZD)'!E75)</f>
        <v/>
      </c>
      <c r="F73" s="3" t="str">
        <f>IF('ET - Rectangular (PNEZD)'!F75="","",'ET - Rectangular (PNEZD)'!F75)</f>
        <v/>
      </c>
      <c r="G73" s="3" t="str">
        <f t="shared" si="2"/>
        <v/>
      </c>
      <c r="H73" s="2" t="str">
        <f>IF('ET - Rectangular (PNEZD)'!H75="","",'ET - Rectangular (PNEZD)'!H75)</f>
        <v/>
      </c>
    </row>
    <row r="74" spans="1:8" x14ac:dyDescent="0.25">
      <c r="A74" s="3">
        <v>70</v>
      </c>
      <c r="B74" s="3" t="str">
        <f>IF('ET - Rectangular (PNEZD)'!B76="","",'ET - Rectangular (PNEZD)'!B76)</f>
        <v/>
      </c>
      <c r="C74" s="4" t="str">
        <f>IF('ET - Rectangular (PNEZD)'!C76="","",'ET - Rectangular (PNEZD)'!C76)</f>
        <v/>
      </c>
      <c r="D74" s="4" t="str">
        <f>IF('ET - Rectangular (PNEZD)'!D76="","",'ET - Rectangular (PNEZD)'!D76)</f>
        <v/>
      </c>
      <c r="E74" s="4" t="str">
        <f>IF('ET - Rectangular (PNEZD)'!E76="","",'ET - Rectangular (PNEZD)'!E76)</f>
        <v/>
      </c>
      <c r="F74" s="3" t="str">
        <f>IF('ET - Rectangular (PNEZD)'!F76="","",'ET - Rectangular (PNEZD)'!F76)</f>
        <v/>
      </c>
      <c r="G74" s="3" t="str">
        <f t="shared" si="2"/>
        <v/>
      </c>
      <c r="H74" s="2" t="str">
        <f>IF('ET - Rectangular (PNEZD)'!H76="","",'ET - Rectangular (PNEZD)'!H76)</f>
        <v/>
      </c>
    </row>
    <row r="75" spans="1:8" x14ac:dyDescent="0.25">
      <c r="A75" s="3">
        <v>71</v>
      </c>
      <c r="B75" s="3" t="str">
        <f>IF('ET - Rectangular (PNEZD)'!B77="","",'ET - Rectangular (PNEZD)'!B77)</f>
        <v/>
      </c>
      <c r="C75" s="4" t="str">
        <f>IF('ET - Rectangular (PNEZD)'!C77="","",'ET - Rectangular (PNEZD)'!C77)</f>
        <v/>
      </c>
      <c r="D75" s="4" t="str">
        <f>IF('ET - Rectangular (PNEZD)'!D77="","",'ET - Rectangular (PNEZD)'!D77)</f>
        <v/>
      </c>
      <c r="E75" s="4" t="str">
        <f>IF('ET - Rectangular (PNEZD)'!E77="","",'ET - Rectangular (PNEZD)'!E77)</f>
        <v/>
      </c>
      <c r="F75" s="3" t="str">
        <f>IF('ET - Rectangular (PNEZD)'!F77="","",'ET - Rectangular (PNEZD)'!F77)</f>
        <v/>
      </c>
      <c r="G75" s="3" t="str">
        <f t="shared" si="2"/>
        <v/>
      </c>
      <c r="H75" s="2" t="str">
        <f>IF('ET - Rectangular (PNEZD)'!H77="","",'ET - Rectangular (PNEZD)'!H77)</f>
        <v/>
      </c>
    </row>
    <row r="76" spans="1:8" x14ac:dyDescent="0.25">
      <c r="A76" s="3">
        <v>72</v>
      </c>
      <c r="B76" s="3" t="str">
        <f>IF('ET - Rectangular (PNEZD)'!B78="","",'ET - Rectangular (PNEZD)'!B78)</f>
        <v/>
      </c>
      <c r="C76" s="4" t="str">
        <f>IF('ET - Rectangular (PNEZD)'!C78="","",'ET - Rectangular (PNEZD)'!C78)</f>
        <v/>
      </c>
      <c r="D76" s="4" t="str">
        <f>IF('ET - Rectangular (PNEZD)'!D78="","",'ET - Rectangular (PNEZD)'!D78)</f>
        <v/>
      </c>
      <c r="E76" s="4" t="str">
        <f>IF('ET - Rectangular (PNEZD)'!E78="","",'ET - Rectangular (PNEZD)'!E78)</f>
        <v/>
      </c>
      <c r="F76" s="3" t="str">
        <f>IF('ET - Rectangular (PNEZD)'!F78="","",'ET - Rectangular (PNEZD)'!F78)</f>
        <v/>
      </c>
      <c r="G76" s="3" t="str">
        <f t="shared" si="2"/>
        <v/>
      </c>
      <c r="H76" s="2" t="str">
        <f>IF('ET - Rectangular (PNEZD)'!H78="","",'ET - Rectangular (PNEZD)'!H78)</f>
        <v/>
      </c>
    </row>
    <row r="77" spans="1:8" x14ac:dyDescent="0.25">
      <c r="A77" s="3">
        <v>73</v>
      </c>
      <c r="B77" s="3" t="str">
        <f>IF('ET - Rectangular (PNEZD)'!B79="","",'ET - Rectangular (PNEZD)'!B79)</f>
        <v/>
      </c>
      <c r="C77" s="4" t="str">
        <f>IF('ET - Rectangular (PNEZD)'!C79="","",'ET - Rectangular (PNEZD)'!C79)</f>
        <v/>
      </c>
      <c r="D77" s="4" t="str">
        <f>IF('ET - Rectangular (PNEZD)'!D79="","",'ET - Rectangular (PNEZD)'!D79)</f>
        <v/>
      </c>
      <c r="E77" s="4" t="str">
        <f>IF('ET - Rectangular (PNEZD)'!E79="","",'ET - Rectangular (PNEZD)'!E79)</f>
        <v/>
      </c>
      <c r="F77" s="3" t="str">
        <f>IF('ET - Rectangular (PNEZD)'!F79="","",'ET - Rectangular (PNEZD)'!F79)</f>
        <v/>
      </c>
      <c r="G77" s="3" t="str">
        <f t="shared" si="2"/>
        <v/>
      </c>
      <c r="H77" s="2" t="str">
        <f>IF('ET - Rectangular (PNEZD)'!H79="","",'ET - Rectangular (PNEZD)'!H79)</f>
        <v/>
      </c>
    </row>
    <row r="78" spans="1:8" x14ac:dyDescent="0.25">
      <c r="A78" s="3">
        <v>74</v>
      </c>
      <c r="B78" s="3" t="str">
        <f>IF('ET - Rectangular (PNEZD)'!B80="","",'ET - Rectangular (PNEZD)'!B80)</f>
        <v/>
      </c>
      <c r="C78" s="4" t="str">
        <f>IF('ET - Rectangular (PNEZD)'!C80="","",'ET - Rectangular (PNEZD)'!C80)</f>
        <v/>
      </c>
      <c r="D78" s="4" t="str">
        <f>IF('ET - Rectangular (PNEZD)'!D80="","",'ET - Rectangular (PNEZD)'!D80)</f>
        <v/>
      </c>
      <c r="E78" s="4" t="str">
        <f>IF('ET - Rectangular (PNEZD)'!E80="","",'ET - Rectangular (PNEZD)'!E80)</f>
        <v/>
      </c>
      <c r="F78" s="3" t="str">
        <f>IF('ET - Rectangular (PNEZD)'!F80="","",'ET - Rectangular (PNEZD)'!F80)</f>
        <v/>
      </c>
      <c r="G78" s="3" t="str">
        <f t="shared" si="2"/>
        <v/>
      </c>
      <c r="H78" s="2" t="str">
        <f>IF('ET - Rectangular (PNEZD)'!H80="","",'ET - Rectangular (PNEZD)'!H80)</f>
        <v/>
      </c>
    </row>
    <row r="79" spans="1:8" x14ac:dyDescent="0.25">
      <c r="A79" s="3">
        <v>75</v>
      </c>
      <c r="B79" s="3" t="str">
        <f>IF('ET - Rectangular (PNEZD)'!B81="","",'ET - Rectangular (PNEZD)'!B81)</f>
        <v/>
      </c>
      <c r="C79" s="4" t="str">
        <f>IF('ET - Rectangular (PNEZD)'!C81="","",'ET - Rectangular (PNEZD)'!C81)</f>
        <v/>
      </c>
      <c r="D79" s="4" t="str">
        <f>IF('ET - Rectangular (PNEZD)'!D81="","",'ET - Rectangular (PNEZD)'!D81)</f>
        <v/>
      </c>
      <c r="E79" s="4" t="str">
        <f>IF('ET - Rectangular (PNEZD)'!E81="","",'ET - Rectangular (PNEZD)'!E81)</f>
        <v/>
      </c>
      <c r="F79" s="3" t="str">
        <f>IF('ET - Rectangular (PNEZD)'!F81="","",'ET - Rectangular (PNEZD)'!F81)</f>
        <v/>
      </c>
      <c r="G79" s="3" t="str">
        <f t="shared" si="2"/>
        <v/>
      </c>
      <c r="H79" s="2" t="str">
        <f>IF('ET - Rectangular (PNEZD)'!H81="","",'ET - Rectangular (PNEZD)'!H81)</f>
        <v/>
      </c>
    </row>
    <row r="80" spans="1:8" x14ac:dyDescent="0.25">
      <c r="A80" s="3">
        <v>76</v>
      </c>
      <c r="B80" s="3" t="str">
        <f>IF('ET - Rectangular (PNEZD)'!B82="","",'ET - Rectangular (PNEZD)'!B82)</f>
        <v/>
      </c>
      <c r="C80" s="4" t="str">
        <f>IF('ET - Rectangular (PNEZD)'!C82="","",'ET - Rectangular (PNEZD)'!C82)</f>
        <v/>
      </c>
      <c r="D80" s="4" t="str">
        <f>IF('ET - Rectangular (PNEZD)'!D82="","",'ET - Rectangular (PNEZD)'!D82)</f>
        <v/>
      </c>
      <c r="E80" s="4" t="str">
        <f>IF('ET - Rectangular (PNEZD)'!E82="","",'ET - Rectangular (PNEZD)'!E82)</f>
        <v/>
      </c>
      <c r="F80" s="3" t="str">
        <f>IF('ET - Rectangular (PNEZD)'!F82="","",'ET - Rectangular (PNEZD)'!F82)</f>
        <v/>
      </c>
      <c r="G80" s="3" t="str">
        <f t="shared" si="2"/>
        <v/>
      </c>
      <c r="H80" s="2" t="str">
        <f>IF('ET - Rectangular (PNEZD)'!H82="","",'ET - Rectangular (PNEZD)'!H82)</f>
        <v/>
      </c>
    </row>
    <row r="81" spans="1:8" x14ac:dyDescent="0.25">
      <c r="A81" s="3">
        <v>77</v>
      </c>
      <c r="B81" s="3" t="str">
        <f>IF('ET - Rectangular (PNEZD)'!B83="","",'ET - Rectangular (PNEZD)'!B83)</f>
        <v/>
      </c>
      <c r="C81" s="4" t="str">
        <f>IF('ET - Rectangular (PNEZD)'!C83="","",'ET - Rectangular (PNEZD)'!C83)</f>
        <v/>
      </c>
      <c r="D81" s="4" t="str">
        <f>IF('ET - Rectangular (PNEZD)'!D83="","",'ET - Rectangular (PNEZD)'!D83)</f>
        <v/>
      </c>
      <c r="E81" s="4" t="str">
        <f>IF('ET - Rectangular (PNEZD)'!E83="","",'ET - Rectangular (PNEZD)'!E83)</f>
        <v/>
      </c>
      <c r="F81" s="3" t="str">
        <f>IF('ET - Rectangular (PNEZD)'!F83="","",'ET - Rectangular (PNEZD)'!F83)</f>
        <v/>
      </c>
      <c r="G81" s="3" t="str">
        <f t="shared" si="2"/>
        <v/>
      </c>
      <c r="H81" s="2" t="str">
        <f>IF('ET - Rectangular (PNEZD)'!H83="","",'ET - Rectangular (PNEZD)'!H83)</f>
        <v/>
      </c>
    </row>
    <row r="82" spans="1:8" x14ac:dyDescent="0.25">
      <c r="A82" s="3">
        <v>78</v>
      </c>
      <c r="B82" s="3" t="str">
        <f>IF('ET - Rectangular (PNEZD)'!B84="","",'ET - Rectangular (PNEZD)'!B84)</f>
        <v/>
      </c>
      <c r="C82" s="4" t="str">
        <f>IF('ET - Rectangular (PNEZD)'!C84="","",'ET - Rectangular (PNEZD)'!C84)</f>
        <v/>
      </c>
      <c r="D82" s="4" t="str">
        <f>IF('ET - Rectangular (PNEZD)'!D84="","",'ET - Rectangular (PNEZD)'!D84)</f>
        <v/>
      </c>
      <c r="E82" s="4" t="str">
        <f>IF('ET - Rectangular (PNEZD)'!E84="","",'ET - Rectangular (PNEZD)'!E84)</f>
        <v/>
      </c>
      <c r="F82" s="3" t="str">
        <f>IF('ET - Rectangular (PNEZD)'!F84="","",'ET - Rectangular (PNEZD)'!F84)</f>
        <v/>
      </c>
      <c r="G82" s="3" t="str">
        <f t="shared" si="2"/>
        <v/>
      </c>
      <c r="H82" s="2" t="str">
        <f>IF('ET - Rectangular (PNEZD)'!H84="","",'ET - Rectangular (PNEZD)'!H84)</f>
        <v/>
      </c>
    </row>
    <row r="83" spans="1:8" x14ac:dyDescent="0.25">
      <c r="A83" s="3">
        <v>79</v>
      </c>
      <c r="B83" s="3" t="str">
        <f>IF('ET - Rectangular (PNEZD)'!B85="","",'ET - Rectangular (PNEZD)'!B85)</f>
        <v/>
      </c>
      <c r="C83" s="4" t="str">
        <f>IF('ET - Rectangular (PNEZD)'!C85="","",'ET - Rectangular (PNEZD)'!C85)</f>
        <v/>
      </c>
      <c r="D83" s="4" t="str">
        <f>IF('ET - Rectangular (PNEZD)'!D85="","",'ET - Rectangular (PNEZD)'!D85)</f>
        <v/>
      </c>
      <c r="E83" s="4" t="str">
        <f>IF('ET - Rectangular (PNEZD)'!E85="","",'ET - Rectangular (PNEZD)'!E85)</f>
        <v/>
      </c>
      <c r="F83" s="3" t="str">
        <f>IF('ET - Rectangular (PNEZD)'!F85="","",'ET - Rectangular (PNEZD)'!F85)</f>
        <v/>
      </c>
      <c r="G83" s="3" t="str">
        <f t="shared" si="2"/>
        <v/>
      </c>
      <c r="H83" s="2" t="str">
        <f>IF('ET - Rectangular (PNEZD)'!H85="","",'ET - Rectangular (PNEZD)'!H85)</f>
        <v/>
      </c>
    </row>
    <row r="84" spans="1:8" x14ac:dyDescent="0.25">
      <c r="A84" s="3">
        <v>80</v>
      </c>
      <c r="B84" s="3" t="str">
        <f>IF('ET - Rectangular (PNEZD)'!B86="","",'ET - Rectangular (PNEZD)'!B86)</f>
        <v/>
      </c>
      <c r="C84" s="4" t="str">
        <f>IF('ET - Rectangular (PNEZD)'!C86="","",'ET - Rectangular (PNEZD)'!C86)</f>
        <v/>
      </c>
      <c r="D84" s="4" t="str">
        <f>IF('ET - Rectangular (PNEZD)'!D86="","",'ET - Rectangular (PNEZD)'!D86)</f>
        <v/>
      </c>
      <c r="E84" s="4" t="str">
        <f>IF('ET - Rectangular (PNEZD)'!E86="","",'ET - Rectangular (PNEZD)'!E86)</f>
        <v/>
      </c>
      <c r="F84" s="3" t="str">
        <f>IF('ET - Rectangular (PNEZD)'!F86="","",'ET - Rectangular (PNEZD)'!F86)</f>
        <v/>
      </c>
      <c r="G84" s="3" t="str">
        <f t="shared" si="2"/>
        <v/>
      </c>
      <c r="H84" s="2" t="str">
        <f>IF('ET - Rectangular (PNEZD)'!H86="","",'ET - Rectangular (PNEZD)'!H86)</f>
        <v/>
      </c>
    </row>
    <row r="85" spans="1:8" x14ac:dyDescent="0.25">
      <c r="A85" s="3">
        <v>81</v>
      </c>
      <c r="B85" s="3" t="str">
        <f>IF('ET - Rectangular (PNEZD)'!B87="","",'ET - Rectangular (PNEZD)'!B87)</f>
        <v/>
      </c>
      <c r="C85" s="4" t="str">
        <f>IF('ET - Rectangular (PNEZD)'!C87="","",'ET - Rectangular (PNEZD)'!C87)</f>
        <v/>
      </c>
      <c r="D85" s="4" t="str">
        <f>IF('ET - Rectangular (PNEZD)'!D87="","",'ET - Rectangular (PNEZD)'!D87)</f>
        <v/>
      </c>
      <c r="E85" s="4" t="str">
        <f>IF('ET - Rectangular (PNEZD)'!E87="","",'ET - Rectangular (PNEZD)'!E87)</f>
        <v/>
      </c>
      <c r="F85" s="3" t="str">
        <f>IF('ET - Rectangular (PNEZD)'!F87="","",'ET - Rectangular (PNEZD)'!F87)</f>
        <v/>
      </c>
      <c r="G85" s="3" t="str">
        <f t="shared" si="2"/>
        <v/>
      </c>
      <c r="H85" s="2" t="str">
        <f>IF('ET - Rectangular (PNEZD)'!H87="","",'ET - Rectangular (PNEZD)'!H87)</f>
        <v/>
      </c>
    </row>
    <row r="86" spans="1:8" x14ac:dyDescent="0.25">
      <c r="A86" s="3">
        <v>82</v>
      </c>
      <c r="B86" s="3" t="str">
        <f>IF('ET - Rectangular (PNEZD)'!B88="","",'ET - Rectangular (PNEZD)'!B88)</f>
        <v/>
      </c>
      <c r="C86" s="4" t="str">
        <f>IF('ET - Rectangular (PNEZD)'!C88="","",'ET - Rectangular (PNEZD)'!C88)</f>
        <v/>
      </c>
      <c r="D86" s="4" t="str">
        <f>IF('ET - Rectangular (PNEZD)'!D88="","",'ET - Rectangular (PNEZD)'!D88)</f>
        <v/>
      </c>
      <c r="E86" s="4" t="str">
        <f>IF('ET - Rectangular (PNEZD)'!E88="","",'ET - Rectangular (PNEZD)'!E88)</f>
        <v/>
      </c>
      <c r="F86" s="3" t="str">
        <f>IF('ET - Rectangular (PNEZD)'!F88="","",'ET - Rectangular (PNEZD)'!F88)</f>
        <v/>
      </c>
      <c r="G86" s="3" t="str">
        <f t="shared" si="2"/>
        <v/>
      </c>
      <c r="H86" s="2" t="str">
        <f>IF('ET - Rectangular (PNEZD)'!H88="","",'ET - Rectangular (PNEZD)'!H88)</f>
        <v/>
      </c>
    </row>
    <row r="87" spans="1:8" x14ac:dyDescent="0.25">
      <c r="A87" s="3">
        <v>83</v>
      </c>
      <c r="B87" s="3" t="str">
        <f>IF('ET - Rectangular (PNEZD)'!B89="","",'ET - Rectangular (PNEZD)'!B89)</f>
        <v/>
      </c>
      <c r="C87" s="4" t="str">
        <f>IF('ET - Rectangular (PNEZD)'!C89="","",'ET - Rectangular (PNEZD)'!C89)</f>
        <v/>
      </c>
      <c r="D87" s="4" t="str">
        <f>IF('ET - Rectangular (PNEZD)'!D89="","",'ET - Rectangular (PNEZD)'!D89)</f>
        <v/>
      </c>
      <c r="E87" s="4" t="str">
        <f>IF('ET - Rectangular (PNEZD)'!E89="","",'ET - Rectangular (PNEZD)'!E89)</f>
        <v/>
      </c>
      <c r="F87" s="3" t="str">
        <f>IF('ET - Rectangular (PNEZD)'!F89="","",'ET - Rectangular (PNEZD)'!F89)</f>
        <v/>
      </c>
      <c r="G87" s="3" t="str">
        <f t="shared" si="2"/>
        <v/>
      </c>
      <c r="H87" s="2" t="str">
        <f>IF('ET - Rectangular (PNEZD)'!H89="","",'ET - Rectangular (PNEZD)'!H89)</f>
        <v/>
      </c>
    </row>
    <row r="88" spans="1:8" x14ac:dyDescent="0.25">
      <c r="A88" s="3">
        <v>84</v>
      </c>
      <c r="B88" s="3" t="str">
        <f>IF('ET - Rectangular (PNEZD)'!B90="","",'ET - Rectangular (PNEZD)'!B90)</f>
        <v/>
      </c>
      <c r="C88" s="4" t="str">
        <f>IF('ET - Rectangular (PNEZD)'!C90="","",'ET - Rectangular (PNEZD)'!C90)</f>
        <v/>
      </c>
      <c r="D88" s="4" t="str">
        <f>IF('ET - Rectangular (PNEZD)'!D90="","",'ET - Rectangular (PNEZD)'!D90)</f>
        <v/>
      </c>
      <c r="E88" s="4" t="str">
        <f>IF('ET - Rectangular (PNEZD)'!E90="","",'ET - Rectangular (PNEZD)'!E90)</f>
        <v/>
      </c>
      <c r="F88" s="3" t="str">
        <f>IF('ET - Rectangular (PNEZD)'!F90="","",'ET - Rectangular (PNEZD)'!F90)</f>
        <v/>
      </c>
      <c r="G88" s="3" t="str">
        <f t="shared" si="2"/>
        <v/>
      </c>
      <c r="H88" s="2" t="str">
        <f>IF('ET - Rectangular (PNEZD)'!H90="","",'ET - Rectangular (PNEZD)'!H90)</f>
        <v/>
      </c>
    </row>
    <row r="89" spans="1:8" x14ac:dyDescent="0.25">
      <c r="A89" s="3">
        <v>85</v>
      </c>
      <c r="B89" s="3" t="str">
        <f>IF('ET - Rectangular (PNEZD)'!B91="","",'ET - Rectangular (PNEZD)'!B91)</f>
        <v/>
      </c>
      <c r="C89" s="4" t="str">
        <f>IF('ET - Rectangular (PNEZD)'!C91="","",'ET - Rectangular (PNEZD)'!C91)</f>
        <v/>
      </c>
      <c r="D89" s="4" t="str">
        <f>IF('ET - Rectangular (PNEZD)'!D91="","",'ET - Rectangular (PNEZD)'!D91)</f>
        <v/>
      </c>
      <c r="E89" s="4" t="str">
        <f>IF('ET - Rectangular (PNEZD)'!E91="","",'ET - Rectangular (PNEZD)'!E91)</f>
        <v/>
      </c>
      <c r="F89" s="3" t="str">
        <f>IF('ET - Rectangular (PNEZD)'!F91="","",'ET - Rectangular (PNEZD)'!F91)</f>
        <v/>
      </c>
      <c r="G89" s="3" t="str">
        <f t="shared" si="2"/>
        <v/>
      </c>
      <c r="H89" s="2" t="str">
        <f>IF('ET - Rectangular (PNEZD)'!H91="","",'ET - Rectangular (PNEZD)'!H91)</f>
        <v/>
      </c>
    </row>
    <row r="90" spans="1:8" x14ac:dyDescent="0.25">
      <c r="A90" s="3">
        <v>86</v>
      </c>
      <c r="B90" s="3" t="str">
        <f>IF('ET - Rectangular (PNEZD)'!B92="","",'ET - Rectangular (PNEZD)'!B92)</f>
        <v/>
      </c>
      <c r="C90" s="4" t="str">
        <f>IF('ET - Rectangular (PNEZD)'!C92="","",'ET - Rectangular (PNEZD)'!C92)</f>
        <v/>
      </c>
      <c r="D90" s="4" t="str">
        <f>IF('ET - Rectangular (PNEZD)'!D92="","",'ET - Rectangular (PNEZD)'!D92)</f>
        <v/>
      </c>
      <c r="E90" s="4" t="str">
        <f>IF('ET - Rectangular (PNEZD)'!E92="","",'ET - Rectangular (PNEZD)'!E92)</f>
        <v/>
      </c>
      <c r="F90" s="3" t="str">
        <f>IF('ET - Rectangular (PNEZD)'!F92="","",'ET - Rectangular (PNEZD)'!F92)</f>
        <v/>
      </c>
      <c r="G90" s="3" t="str">
        <f t="shared" si="2"/>
        <v/>
      </c>
      <c r="H90" s="2" t="str">
        <f>IF('ET - Rectangular (PNEZD)'!H92="","",'ET - Rectangular (PNEZD)'!H92)</f>
        <v/>
      </c>
    </row>
    <row r="91" spans="1:8" x14ac:dyDescent="0.25">
      <c r="A91" s="3">
        <v>87</v>
      </c>
      <c r="B91" s="3" t="str">
        <f>IF('ET - Rectangular (PNEZD)'!B93="","",'ET - Rectangular (PNEZD)'!B93)</f>
        <v/>
      </c>
      <c r="C91" s="4" t="str">
        <f>IF('ET - Rectangular (PNEZD)'!C93="","",'ET - Rectangular (PNEZD)'!C93)</f>
        <v/>
      </c>
      <c r="D91" s="4" t="str">
        <f>IF('ET - Rectangular (PNEZD)'!D93="","",'ET - Rectangular (PNEZD)'!D93)</f>
        <v/>
      </c>
      <c r="E91" s="4" t="str">
        <f>IF('ET - Rectangular (PNEZD)'!E93="","",'ET - Rectangular (PNEZD)'!E93)</f>
        <v/>
      </c>
      <c r="F91" s="3" t="str">
        <f>IF('ET - Rectangular (PNEZD)'!F93="","",'ET - Rectangular (PNEZD)'!F93)</f>
        <v/>
      </c>
      <c r="G91" s="3" t="str">
        <f t="shared" si="2"/>
        <v/>
      </c>
      <c r="H91" s="2" t="str">
        <f>IF('ET - Rectangular (PNEZD)'!H93="","",'ET - Rectangular (PNEZD)'!H93)</f>
        <v/>
      </c>
    </row>
    <row r="92" spans="1:8" x14ac:dyDescent="0.25">
      <c r="A92" s="3">
        <v>88</v>
      </c>
      <c r="B92" s="3" t="str">
        <f>IF('ET - Rectangular (PNEZD)'!B94="","",'ET - Rectangular (PNEZD)'!B94)</f>
        <v/>
      </c>
      <c r="C92" s="4" t="str">
        <f>IF('ET - Rectangular (PNEZD)'!C94="","",'ET - Rectangular (PNEZD)'!C94)</f>
        <v/>
      </c>
      <c r="D92" s="4" t="str">
        <f>IF('ET - Rectangular (PNEZD)'!D94="","",'ET - Rectangular (PNEZD)'!D94)</f>
        <v/>
      </c>
      <c r="E92" s="4" t="str">
        <f>IF('ET - Rectangular (PNEZD)'!E94="","",'ET - Rectangular (PNEZD)'!E94)</f>
        <v/>
      </c>
      <c r="F92" s="3" t="str">
        <f>IF('ET - Rectangular (PNEZD)'!F94="","",'ET - Rectangular (PNEZD)'!F94)</f>
        <v/>
      </c>
      <c r="G92" s="3" t="str">
        <f t="shared" si="2"/>
        <v/>
      </c>
      <c r="H92" s="2" t="str">
        <f>IF('ET - Rectangular (PNEZD)'!H94="","",'ET - Rectangular (PNEZD)'!H94)</f>
        <v/>
      </c>
    </row>
    <row r="93" spans="1:8" x14ac:dyDescent="0.25">
      <c r="A93" s="3">
        <v>89</v>
      </c>
      <c r="B93" s="3" t="str">
        <f>IF('ET - Rectangular (PNEZD)'!B95="","",'ET - Rectangular (PNEZD)'!B95)</f>
        <v/>
      </c>
      <c r="C93" s="4" t="str">
        <f>IF('ET - Rectangular (PNEZD)'!C95="","",'ET - Rectangular (PNEZD)'!C95)</f>
        <v/>
      </c>
      <c r="D93" s="4" t="str">
        <f>IF('ET - Rectangular (PNEZD)'!D95="","",'ET - Rectangular (PNEZD)'!D95)</f>
        <v/>
      </c>
      <c r="E93" s="4" t="str">
        <f>IF('ET - Rectangular (PNEZD)'!E95="","",'ET - Rectangular (PNEZD)'!E95)</f>
        <v/>
      </c>
      <c r="F93" s="3" t="str">
        <f>IF('ET - Rectangular (PNEZD)'!F95="","",'ET - Rectangular (PNEZD)'!F95)</f>
        <v/>
      </c>
      <c r="G93" s="3" t="str">
        <f t="shared" si="2"/>
        <v/>
      </c>
      <c r="H93" s="2" t="str">
        <f>IF('ET - Rectangular (PNEZD)'!H95="","",'ET - Rectangular (PNEZD)'!H95)</f>
        <v/>
      </c>
    </row>
    <row r="94" spans="1:8" x14ac:dyDescent="0.25">
      <c r="A94" s="3">
        <v>90</v>
      </c>
      <c r="B94" s="3" t="str">
        <f>IF('ET - Rectangular (PNEZD)'!B96="","",'ET - Rectangular (PNEZD)'!B96)</f>
        <v/>
      </c>
      <c r="C94" s="4" t="str">
        <f>IF('ET - Rectangular (PNEZD)'!C96="","",'ET - Rectangular (PNEZD)'!C96)</f>
        <v/>
      </c>
      <c r="D94" s="4" t="str">
        <f>IF('ET - Rectangular (PNEZD)'!D96="","",'ET - Rectangular (PNEZD)'!D96)</f>
        <v/>
      </c>
      <c r="E94" s="4" t="str">
        <f>IF('ET - Rectangular (PNEZD)'!E96="","",'ET - Rectangular (PNEZD)'!E96)</f>
        <v/>
      </c>
      <c r="F94" s="3" t="str">
        <f>IF('ET - Rectangular (PNEZD)'!F96="","",'ET - Rectangular (PNEZD)'!F96)</f>
        <v/>
      </c>
      <c r="G94" s="3" t="str">
        <f t="shared" si="2"/>
        <v/>
      </c>
      <c r="H94" s="2" t="str">
        <f>IF('ET - Rectangular (PNEZD)'!H96="","",'ET - Rectangular (PNEZD)'!H96)</f>
        <v/>
      </c>
    </row>
    <row r="95" spans="1:8" x14ac:dyDescent="0.25">
      <c r="A95" s="3">
        <v>91</v>
      </c>
      <c r="B95" s="3" t="str">
        <f>IF('ET - Rectangular (PNEZD)'!B97="","",'ET - Rectangular (PNEZD)'!B97)</f>
        <v/>
      </c>
      <c r="C95" s="4" t="str">
        <f>IF('ET - Rectangular (PNEZD)'!C97="","",'ET - Rectangular (PNEZD)'!C97)</f>
        <v/>
      </c>
      <c r="D95" s="4" t="str">
        <f>IF('ET - Rectangular (PNEZD)'!D97="","",'ET - Rectangular (PNEZD)'!D97)</f>
        <v/>
      </c>
      <c r="E95" s="4" t="str">
        <f>IF('ET - Rectangular (PNEZD)'!E97="","",'ET - Rectangular (PNEZD)'!E97)</f>
        <v/>
      </c>
      <c r="F95" s="3" t="str">
        <f>IF('ET - Rectangular (PNEZD)'!F97="","",'ET - Rectangular (PNEZD)'!F97)</f>
        <v/>
      </c>
      <c r="G95" s="3" t="str">
        <f t="shared" si="2"/>
        <v/>
      </c>
      <c r="H95" s="2" t="str">
        <f>IF('ET - Rectangular (PNEZD)'!H97="","",'ET - Rectangular (PNEZD)'!H97)</f>
        <v/>
      </c>
    </row>
    <row r="96" spans="1:8" x14ac:dyDescent="0.25">
      <c r="A96" s="3">
        <v>92</v>
      </c>
      <c r="B96" s="3" t="str">
        <f>IF('ET - Rectangular (PNEZD)'!B98="","",'ET - Rectangular (PNEZD)'!B98)</f>
        <v/>
      </c>
      <c r="C96" s="4" t="str">
        <f>IF('ET - Rectangular (PNEZD)'!C98="","",'ET - Rectangular (PNEZD)'!C98)</f>
        <v/>
      </c>
      <c r="D96" s="4" t="str">
        <f>IF('ET - Rectangular (PNEZD)'!D98="","",'ET - Rectangular (PNEZD)'!D98)</f>
        <v/>
      </c>
      <c r="E96" s="4" t="str">
        <f>IF('ET - Rectangular (PNEZD)'!E98="","",'ET - Rectangular (PNEZD)'!E98)</f>
        <v/>
      </c>
      <c r="F96" s="3" t="str">
        <f>IF('ET - Rectangular (PNEZD)'!F98="","",'ET - Rectangular (PNEZD)'!F98)</f>
        <v/>
      </c>
      <c r="G96" s="3" t="str">
        <f t="shared" si="2"/>
        <v/>
      </c>
      <c r="H96" s="2" t="str">
        <f>IF('ET - Rectangular (PNEZD)'!H98="","",'ET - Rectangular (PNEZD)'!H98)</f>
        <v/>
      </c>
    </row>
    <row r="97" spans="1:8" x14ac:dyDescent="0.25">
      <c r="A97" s="3">
        <v>93</v>
      </c>
      <c r="B97" s="3" t="str">
        <f>IF('ET - Rectangular (PNEZD)'!B99="","",'ET - Rectangular (PNEZD)'!B99)</f>
        <v/>
      </c>
      <c r="C97" s="4" t="str">
        <f>IF('ET - Rectangular (PNEZD)'!C99="","",'ET - Rectangular (PNEZD)'!C99)</f>
        <v/>
      </c>
      <c r="D97" s="4" t="str">
        <f>IF('ET - Rectangular (PNEZD)'!D99="","",'ET - Rectangular (PNEZD)'!D99)</f>
        <v/>
      </c>
      <c r="E97" s="4" t="str">
        <f>IF('ET - Rectangular (PNEZD)'!E99="","",'ET - Rectangular (PNEZD)'!E99)</f>
        <v/>
      </c>
      <c r="F97" s="3" t="str">
        <f>IF('ET - Rectangular (PNEZD)'!F99="","",'ET - Rectangular (PNEZD)'!F99)</f>
        <v/>
      </c>
      <c r="G97" s="3" t="str">
        <f t="shared" si="2"/>
        <v/>
      </c>
      <c r="H97" s="2" t="str">
        <f>IF('ET - Rectangular (PNEZD)'!H99="","",'ET - Rectangular (PNEZD)'!H99)</f>
        <v/>
      </c>
    </row>
    <row r="98" spans="1:8" x14ac:dyDescent="0.25">
      <c r="A98" s="3">
        <v>94</v>
      </c>
      <c r="B98" s="3" t="str">
        <f>IF('ET - Rectangular (PNEZD)'!B100="","",'ET - Rectangular (PNEZD)'!B100)</f>
        <v/>
      </c>
      <c r="C98" s="4" t="str">
        <f>IF('ET - Rectangular (PNEZD)'!C100="","",'ET - Rectangular (PNEZD)'!C100)</f>
        <v/>
      </c>
      <c r="D98" s="4" t="str">
        <f>IF('ET - Rectangular (PNEZD)'!D100="","",'ET - Rectangular (PNEZD)'!D100)</f>
        <v/>
      </c>
      <c r="E98" s="4" t="str">
        <f>IF('ET - Rectangular (PNEZD)'!E100="","",'ET - Rectangular (PNEZD)'!E100)</f>
        <v/>
      </c>
      <c r="F98" s="3" t="str">
        <f>IF('ET - Rectangular (PNEZD)'!F100="","",'ET - Rectangular (PNEZD)'!F100)</f>
        <v/>
      </c>
      <c r="G98" s="3" t="str">
        <f t="shared" si="2"/>
        <v/>
      </c>
      <c r="H98" s="2" t="str">
        <f>IF('ET - Rectangular (PNEZD)'!H100="","",'ET - Rectangular (PNEZD)'!H100)</f>
        <v/>
      </c>
    </row>
    <row r="99" spans="1:8" x14ac:dyDescent="0.25">
      <c r="A99" s="3">
        <v>95</v>
      </c>
      <c r="B99" s="3" t="str">
        <f>IF('ET - Rectangular (PNEZD)'!B101="","",'ET - Rectangular (PNEZD)'!B101)</f>
        <v/>
      </c>
      <c r="C99" s="4" t="str">
        <f>IF('ET - Rectangular (PNEZD)'!C101="","",'ET - Rectangular (PNEZD)'!C101)</f>
        <v/>
      </c>
      <c r="D99" s="4" t="str">
        <f>IF('ET - Rectangular (PNEZD)'!D101="","",'ET - Rectangular (PNEZD)'!D101)</f>
        <v/>
      </c>
      <c r="E99" s="4" t="str">
        <f>IF('ET - Rectangular (PNEZD)'!E101="","",'ET - Rectangular (PNEZD)'!E101)</f>
        <v/>
      </c>
      <c r="F99" s="3" t="str">
        <f>IF('ET - Rectangular (PNEZD)'!F101="","",'ET - Rectangular (PNEZD)'!F101)</f>
        <v/>
      </c>
      <c r="G99" s="3" t="str">
        <f t="shared" si="2"/>
        <v/>
      </c>
      <c r="H99" s="2" t="str">
        <f>IF('ET - Rectangular (PNEZD)'!H101="","",'ET - Rectangular (PNEZD)'!H101)</f>
        <v/>
      </c>
    </row>
    <row r="100" spans="1:8" x14ac:dyDescent="0.25">
      <c r="A100" s="3">
        <v>96</v>
      </c>
      <c r="B100" s="3" t="str">
        <f>IF('ET - Rectangular (PNEZD)'!B102="","",'ET - Rectangular (PNEZD)'!B102)</f>
        <v/>
      </c>
      <c r="C100" s="4" t="str">
        <f>IF('ET - Rectangular (PNEZD)'!C102="","",'ET - Rectangular (PNEZD)'!C102)</f>
        <v/>
      </c>
      <c r="D100" s="4" t="str">
        <f>IF('ET - Rectangular (PNEZD)'!D102="","",'ET - Rectangular (PNEZD)'!D102)</f>
        <v/>
      </c>
      <c r="E100" s="4" t="str">
        <f>IF('ET - Rectangular (PNEZD)'!E102="","",'ET - Rectangular (PNEZD)'!E102)</f>
        <v/>
      </c>
      <c r="F100" s="3" t="str">
        <f>IF('ET - Rectangular (PNEZD)'!F102="","",'ET - Rectangular (PNEZD)'!F102)</f>
        <v/>
      </c>
      <c r="G100" s="3" t="str">
        <f t="shared" si="2"/>
        <v/>
      </c>
      <c r="H100" s="2" t="str">
        <f>IF('ET - Rectangular (PNEZD)'!H102="","",'ET - Rectangular (PNEZD)'!H102)</f>
        <v/>
      </c>
    </row>
    <row r="101" spans="1:8" x14ac:dyDescent="0.25">
      <c r="A101" s="3">
        <v>97</v>
      </c>
      <c r="B101" s="3" t="str">
        <f>IF('ET - Rectangular (PNEZD)'!B103="","",'ET - Rectangular (PNEZD)'!B103)</f>
        <v/>
      </c>
      <c r="C101" s="4" t="str">
        <f>IF('ET - Rectangular (PNEZD)'!C103="","",'ET - Rectangular (PNEZD)'!C103)</f>
        <v/>
      </c>
      <c r="D101" s="4" t="str">
        <f>IF('ET - Rectangular (PNEZD)'!D103="","",'ET - Rectangular (PNEZD)'!D103)</f>
        <v/>
      </c>
      <c r="E101" s="4" t="str">
        <f>IF('ET - Rectangular (PNEZD)'!E103="","",'ET - Rectangular (PNEZD)'!E103)</f>
        <v/>
      </c>
      <c r="F101" s="3" t="str">
        <f>IF('ET - Rectangular (PNEZD)'!F103="","",'ET - Rectangular (PNEZD)'!F103)</f>
        <v/>
      </c>
      <c r="G101" s="3" t="str">
        <f t="shared" ref="G101:G132" si="3">IF(B101="","","ET Rect.")</f>
        <v/>
      </c>
      <c r="H101" s="2" t="str">
        <f>IF('ET - Rectangular (PNEZD)'!H103="","",'ET - Rectangular (PNEZD)'!H103)</f>
        <v/>
      </c>
    </row>
    <row r="102" spans="1:8" x14ac:dyDescent="0.25">
      <c r="A102" s="3">
        <v>98</v>
      </c>
      <c r="B102" s="3" t="str">
        <f>IF('ET - Rectangular (PNEZD)'!B104="","",'ET - Rectangular (PNEZD)'!B104)</f>
        <v/>
      </c>
      <c r="C102" s="4" t="str">
        <f>IF('ET - Rectangular (PNEZD)'!C104="","",'ET - Rectangular (PNEZD)'!C104)</f>
        <v/>
      </c>
      <c r="D102" s="4" t="str">
        <f>IF('ET - Rectangular (PNEZD)'!D104="","",'ET - Rectangular (PNEZD)'!D104)</f>
        <v/>
      </c>
      <c r="E102" s="4" t="str">
        <f>IF('ET - Rectangular (PNEZD)'!E104="","",'ET - Rectangular (PNEZD)'!E104)</f>
        <v/>
      </c>
      <c r="F102" s="3" t="str">
        <f>IF('ET - Rectangular (PNEZD)'!F104="","",'ET - Rectangular (PNEZD)'!F104)</f>
        <v/>
      </c>
      <c r="G102" s="3" t="str">
        <f t="shared" si="3"/>
        <v/>
      </c>
      <c r="H102" s="2" t="str">
        <f>IF('ET - Rectangular (PNEZD)'!H104="","",'ET - Rectangular (PNEZD)'!H104)</f>
        <v/>
      </c>
    </row>
    <row r="103" spans="1:8" x14ac:dyDescent="0.25">
      <c r="A103" s="3">
        <v>99</v>
      </c>
      <c r="B103" s="3" t="str">
        <f>IF('ET - Rectangular (PNEZD)'!B105="","",'ET - Rectangular (PNEZD)'!B105)</f>
        <v/>
      </c>
      <c r="C103" s="4" t="str">
        <f>IF('ET - Rectangular (PNEZD)'!C105="","",'ET - Rectangular (PNEZD)'!C105)</f>
        <v/>
      </c>
      <c r="D103" s="4" t="str">
        <f>IF('ET - Rectangular (PNEZD)'!D105="","",'ET - Rectangular (PNEZD)'!D105)</f>
        <v/>
      </c>
      <c r="E103" s="4" t="str">
        <f>IF('ET - Rectangular (PNEZD)'!E105="","",'ET - Rectangular (PNEZD)'!E105)</f>
        <v/>
      </c>
      <c r="F103" s="3" t="str">
        <f>IF('ET - Rectangular (PNEZD)'!F105="","",'ET - Rectangular (PNEZD)'!F105)</f>
        <v/>
      </c>
      <c r="G103" s="3" t="str">
        <f t="shared" si="3"/>
        <v/>
      </c>
      <c r="H103" s="2" t="str">
        <f>IF('ET - Rectangular (PNEZD)'!H105="","",'ET - Rectangular (PNEZD)'!H105)</f>
        <v/>
      </c>
    </row>
    <row r="104" spans="1:8" x14ac:dyDescent="0.25">
      <c r="A104" s="3">
        <v>100</v>
      </c>
      <c r="B104" s="3" t="str">
        <f>IF('ET - Rectangular (PNEZD)'!B106="","",'ET - Rectangular (PNEZD)'!B106)</f>
        <v/>
      </c>
      <c r="C104" s="4" t="str">
        <f>IF('ET - Rectangular (PNEZD)'!C106="","",'ET - Rectangular (PNEZD)'!C106)</f>
        <v/>
      </c>
      <c r="D104" s="4" t="str">
        <f>IF('ET - Rectangular (PNEZD)'!D106="","",'ET - Rectangular (PNEZD)'!D106)</f>
        <v/>
      </c>
      <c r="E104" s="4" t="str">
        <f>IF('ET - Rectangular (PNEZD)'!E106="","",'ET - Rectangular (PNEZD)'!E106)</f>
        <v/>
      </c>
      <c r="F104" s="3" t="str">
        <f>IF('ET - Rectangular (PNEZD)'!F106="","",'ET - Rectangular (PNEZD)'!F106)</f>
        <v/>
      </c>
      <c r="G104" s="3" t="str">
        <f t="shared" si="3"/>
        <v/>
      </c>
      <c r="H104" s="2" t="str">
        <f>IF('ET - Rectangular (PNEZD)'!H106="","",'ET - Rectangular (PNEZD)'!H106)</f>
        <v/>
      </c>
    </row>
    <row r="105" spans="1:8" x14ac:dyDescent="0.25">
      <c r="A105" s="3">
        <v>101</v>
      </c>
      <c r="B105" s="3" t="str">
        <f>IF('ET - Rectangular (PNEZD)'!B107="","",'ET - Rectangular (PNEZD)'!B107)</f>
        <v/>
      </c>
      <c r="C105" s="4" t="str">
        <f>IF('ET - Rectangular (PNEZD)'!C107="","",'ET - Rectangular (PNEZD)'!C107)</f>
        <v/>
      </c>
      <c r="D105" s="4" t="str">
        <f>IF('ET - Rectangular (PNEZD)'!D107="","",'ET - Rectangular (PNEZD)'!D107)</f>
        <v/>
      </c>
      <c r="E105" s="4" t="str">
        <f>IF('ET - Rectangular (PNEZD)'!E107="","",'ET - Rectangular (PNEZD)'!E107)</f>
        <v/>
      </c>
      <c r="F105" s="3" t="str">
        <f>IF('ET - Rectangular (PNEZD)'!F107="","",'ET - Rectangular (PNEZD)'!F107)</f>
        <v/>
      </c>
      <c r="G105" s="3" t="str">
        <f t="shared" si="3"/>
        <v/>
      </c>
      <c r="H105" s="2" t="str">
        <f>IF('ET - Rectangular (PNEZD)'!H107="","",'ET - Rectangular (PNEZD)'!H107)</f>
        <v/>
      </c>
    </row>
    <row r="106" spans="1:8" x14ac:dyDescent="0.25">
      <c r="A106" s="3">
        <v>102</v>
      </c>
      <c r="B106" s="3" t="str">
        <f>IF('ET - Rectangular (PNEZD)'!B108="","",'ET - Rectangular (PNEZD)'!B108)</f>
        <v/>
      </c>
      <c r="C106" s="4" t="str">
        <f>IF('ET - Rectangular (PNEZD)'!C108="","",'ET - Rectangular (PNEZD)'!C108)</f>
        <v/>
      </c>
      <c r="D106" s="4" t="str">
        <f>IF('ET - Rectangular (PNEZD)'!D108="","",'ET - Rectangular (PNEZD)'!D108)</f>
        <v/>
      </c>
      <c r="E106" s="4" t="str">
        <f>IF('ET - Rectangular (PNEZD)'!E108="","",'ET - Rectangular (PNEZD)'!E108)</f>
        <v/>
      </c>
      <c r="F106" s="3" t="str">
        <f>IF('ET - Rectangular (PNEZD)'!F108="","",'ET - Rectangular (PNEZD)'!F108)</f>
        <v/>
      </c>
      <c r="G106" s="3" t="str">
        <f t="shared" si="3"/>
        <v/>
      </c>
      <c r="H106" s="2" t="str">
        <f>IF('ET - Rectangular (PNEZD)'!H108="","",'ET - Rectangular (PNEZD)'!H108)</f>
        <v/>
      </c>
    </row>
    <row r="107" spans="1:8" x14ac:dyDescent="0.25">
      <c r="A107" s="3">
        <v>103</v>
      </c>
      <c r="B107" s="3" t="str">
        <f>IF('ET - Rectangular (PNEZD)'!B109="","",'ET - Rectangular (PNEZD)'!B109)</f>
        <v/>
      </c>
      <c r="C107" s="4" t="str">
        <f>IF('ET - Rectangular (PNEZD)'!C109="","",'ET - Rectangular (PNEZD)'!C109)</f>
        <v/>
      </c>
      <c r="D107" s="4" t="str">
        <f>IF('ET - Rectangular (PNEZD)'!D109="","",'ET - Rectangular (PNEZD)'!D109)</f>
        <v/>
      </c>
      <c r="E107" s="4" t="str">
        <f>IF('ET - Rectangular (PNEZD)'!E109="","",'ET - Rectangular (PNEZD)'!E109)</f>
        <v/>
      </c>
      <c r="F107" s="3" t="str">
        <f>IF('ET - Rectangular (PNEZD)'!F109="","",'ET - Rectangular (PNEZD)'!F109)</f>
        <v/>
      </c>
      <c r="G107" s="3" t="str">
        <f t="shared" si="3"/>
        <v/>
      </c>
      <c r="H107" s="2" t="str">
        <f>IF('ET - Rectangular (PNEZD)'!H109="","",'ET - Rectangular (PNEZD)'!H109)</f>
        <v/>
      </c>
    </row>
    <row r="108" spans="1:8" x14ac:dyDescent="0.25">
      <c r="A108" s="3">
        <v>104</v>
      </c>
      <c r="B108" s="3" t="str">
        <f>IF('ET - Rectangular (PNEZD)'!B110="","",'ET - Rectangular (PNEZD)'!B110)</f>
        <v/>
      </c>
      <c r="C108" s="4" t="str">
        <f>IF('ET - Rectangular (PNEZD)'!C110="","",'ET - Rectangular (PNEZD)'!C110)</f>
        <v/>
      </c>
      <c r="D108" s="4" t="str">
        <f>IF('ET - Rectangular (PNEZD)'!D110="","",'ET - Rectangular (PNEZD)'!D110)</f>
        <v/>
      </c>
      <c r="E108" s="4" t="str">
        <f>IF('ET - Rectangular (PNEZD)'!E110="","",'ET - Rectangular (PNEZD)'!E110)</f>
        <v/>
      </c>
      <c r="F108" s="3" t="str">
        <f>IF('ET - Rectangular (PNEZD)'!F110="","",'ET - Rectangular (PNEZD)'!F110)</f>
        <v/>
      </c>
      <c r="G108" s="3" t="str">
        <f t="shared" si="3"/>
        <v/>
      </c>
      <c r="H108" s="2" t="str">
        <f>IF('ET - Rectangular (PNEZD)'!H110="","",'ET - Rectangular (PNEZD)'!H110)</f>
        <v/>
      </c>
    </row>
    <row r="109" spans="1:8" x14ac:dyDescent="0.25">
      <c r="A109" s="3">
        <v>105</v>
      </c>
      <c r="B109" s="3" t="str">
        <f>IF('ET - Rectangular (PNEZD)'!B111="","",'ET - Rectangular (PNEZD)'!B111)</f>
        <v/>
      </c>
      <c r="C109" s="4" t="str">
        <f>IF('ET - Rectangular (PNEZD)'!C111="","",'ET - Rectangular (PNEZD)'!C111)</f>
        <v/>
      </c>
      <c r="D109" s="4" t="str">
        <f>IF('ET - Rectangular (PNEZD)'!D111="","",'ET - Rectangular (PNEZD)'!D111)</f>
        <v/>
      </c>
      <c r="E109" s="4" t="str">
        <f>IF('ET - Rectangular (PNEZD)'!E111="","",'ET - Rectangular (PNEZD)'!E111)</f>
        <v/>
      </c>
      <c r="F109" s="3" t="str">
        <f>IF('ET - Rectangular (PNEZD)'!F111="","",'ET - Rectangular (PNEZD)'!F111)</f>
        <v/>
      </c>
      <c r="G109" s="3" t="str">
        <f t="shared" si="3"/>
        <v/>
      </c>
      <c r="H109" s="2" t="str">
        <f>IF('ET - Rectangular (PNEZD)'!H111="","",'ET - Rectangular (PNEZD)'!H111)</f>
        <v/>
      </c>
    </row>
    <row r="110" spans="1:8" x14ac:dyDescent="0.25">
      <c r="A110" s="3">
        <v>106</v>
      </c>
      <c r="B110" s="3" t="str">
        <f>IF('ET - Rectangular (PNEZD)'!B112="","",'ET - Rectangular (PNEZD)'!B112)</f>
        <v/>
      </c>
      <c r="C110" s="4" t="str">
        <f>IF('ET - Rectangular (PNEZD)'!C112="","",'ET - Rectangular (PNEZD)'!C112)</f>
        <v/>
      </c>
      <c r="D110" s="4" t="str">
        <f>IF('ET - Rectangular (PNEZD)'!D112="","",'ET - Rectangular (PNEZD)'!D112)</f>
        <v/>
      </c>
      <c r="E110" s="4" t="str">
        <f>IF('ET - Rectangular (PNEZD)'!E112="","",'ET - Rectangular (PNEZD)'!E112)</f>
        <v/>
      </c>
      <c r="F110" s="3" t="str">
        <f>IF('ET - Rectangular (PNEZD)'!F112="","",'ET - Rectangular (PNEZD)'!F112)</f>
        <v/>
      </c>
      <c r="G110" s="3" t="str">
        <f t="shared" si="3"/>
        <v/>
      </c>
      <c r="H110" s="2" t="str">
        <f>IF('ET - Rectangular (PNEZD)'!H112="","",'ET - Rectangular (PNEZD)'!H112)</f>
        <v/>
      </c>
    </row>
    <row r="111" spans="1:8" x14ac:dyDescent="0.25">
      <c r="A111" s="3">
        <v>107</v>
      </c>
      <c r="B111" s="3" t="str">
        <f>IF('ET - Rectangular (PNEZD)'!B113="","",'ET - Rectangular (PNEZD)'!B113)</f>
        <v/>
      </c>
      <c r="C111" s="4" t="str">
        <f>IF('ET - Rectangular (PNEZD)'!C113="","",'ET - Rectangular (PNEZD)'!C113)</f>
        <v/>
      </c>
      <c r="D111" s="4" t="str">
        <f>IF('ET - Rectangular (PNEZD)'!D113="","",'ET - Rectangular (PNEZD)'!D113)</f>
        <v/>
      </c>
      <c r="E111" s="4" t="str">
        <f>IF('ET - Rectangular (PNEZD)'!E113="","",'ET - Rectangular (PNEZD)'!E113)</f>
        <v/>
      </c>
      <c r="F111" s="3" t="str">
        <f>IF('ET - Rectangular (PNEZD)'!F113="","",'ET - Rectangular (PNEZD)'!F113)</f>
        <v/>
      </c>
      <c r="G111" s="3" t="str">
        <f t="shared" si="3"/>
        <v/>
      </c>
      <c r="H111" s="2" t="str">
        <f>IF('ET - Rectangular (PNEZD)'!H113="","",'ET - Rectangular (PNEZD)'!H113)</f>
        <v/>
      </c>
    </row>
    <row r="112" spans="1:8" x14ac:dyDescent="0.25">
      <c r="A112" s="3">
        <v>108</v>
      </c>
      <c r="B112" s="3" t="str">
        <f>IF('ET - Rectangular (PNEZD)'!B114="","",'ET - Rectangular (PNEZD)'!B114)</f>
        <v/>
      </c>
      <c r="C112" s="4" t="str">
        <f>IF('ET - Rectangular (PNEZD)'!C114="","",'ET - Rectangular (PNEZD)'!C114)</f>
        <v/>
      </c>
      <c r="D112" s="4" t="str">
        <f>IF('ET - Rectangular (PNEZD)'!D114="","",'ET - Rectangular (PNEZD)'!D114)</f>
        <v/>
      </c>
      <c r="E112" s="4" t="str">
        <f>IF('ET - Rectangular (PNEZD)'!E114="","",'ET - Rectangular (PNEZD)'!E114)</f>
        <v/>
      </c>
      <c r="F112" s="3" t="str">
        <f>IF('ET - Rectangular (PNEZD)'!F114="","",'ET - Rectangular (PNEZD)'!F114)</f>
        <v/>
      </c>
      <c r="G112" s="3" t="str">
        <f t="shared" si="3"/>
        <v/>
      </c>
      <c r="H112" s="2" t="str">
        <f>IF('ET - Rectangular (PNEZD)'!H114="","",'ET - Rectangular (PNEZD)'!H114)</f>
        <v/>
      </c>
    </row>
    <row r="113" spans="1:8" x14ac:dyDescent="0.25">
      <c r="A113" s="3">
        <v>109</v>
      </c>
      <c r="B113" s="3" t="str">
        <f>IF('ET - Rectangular (PNEZD)'!B115="","",'ET - Rectangular (PNEZD)'!B115)</f>
        <v/>
      </c>
      <c r="C113" s="4" t="str">
        <f>IF('ET - Rectangular (PNEZD)'!C115="","",'ET - Rectangular (PNEZD)'!C115)</f>
        <v/>
      </c>
      <c r="D113" s="4" t="str">
        <f>IF('ET - Rectangular (PNEZD)'!D115="","",'ET - Rectangular (PNEZD)'!D115)</f>
        <v/>
      </c>
      <c r="E113" s="4" t="str">
        <f>IF('ET - Rectangular (PNEZD)'!E115="","",'ET - Rectangular (PNEZD)'!E115)</f>
        <v/>
      </c>
      <c r="F113" s="3" t="str">
        <f>IF('ET - Rectangular (PNEZD)'!F115="","",'ET - Rectangular (PNEZD)'!F115)</f>
        <v/>
      </c>
      <c r="G113" s="3" t="str">
        <f t="shared" si="3"/>
        <v/>
      </c>
      <c r="H113" s="2" t="str">
        <f>IF('ET - Rectangular (PNEZD)'!H115="","",'ET - Rectangular (PNEZD)'!H115)</f>
        <v/>
      </c>
    </row>
    <row r="114" spans="1:8" x14ac:dyDescent="0.25">
      <c r="A114" s="3">
        <v>110</v>
      </c>
      <c r="B114" s="3" t="str">
        <f>IF('ET - Rectangular (PNEZD)'!B116="","",'ET - Rectangular (PNEZD)'!B116)</f>
        <v/>
      </c>
      <c r="C114" s="4" t="str">
        <f>IF('ET - Rectangular (PNEZD)'!C116="","",'ET - Rectangular (PNEZD)'!C116)</f>
        <v/>
      </c>
      <c r="D114" s="4" t="str">
        <f>IF('ET - Rectangular (PNEZD)'!D116="","",'ET - Rectangular (PNEZD)'!D116)</f>
        <v/>
      </c>
      <c r="E114" s="4" t="str">
        <f>IF('ET - Rectangular (PNEZD)'!E116="","",'ET - Rectangular (PNEZD)'!E116)</f>
        <v/>
      </c>
      <c r="F114" s="3" t="str">
        <f>IF('ET - Rectangular (PNEZD)'!F116="","",'ET - Rectangular (PNEZD)'!F116)</f>
        <v/>
      </c>
      <c r="G114" s="3" t="str">
        <f t="shared" si="3"/>
        <v/>
      </c>
      <c r="H114" s="2" t="str">
        <f>IF('ET - Rectangular (PNEZD)'!H116="","",'ET - Rectangular (PNEZD)'!H116)</f>
        <v/>
      </c>
    </row>
    <row r="115" spans="1:8" x14ac:dyDescent="0.25">
      <c r="A115" s="3">
        <v>111</v>
      </c>
      <c r="B115" s="3" t="str">
        <f>IF('ET - Rectangular (PNEZD)'!B117="","",'ET - Rectangular (PNEZD)'!B117)</f>
        <v/>
      </c>
      <c r="C115" s="4" t="str">
        <f>IF('ET - Rectangular (PNEZD)'!C117="","",'ET - Rectangular (PNEZD)'!C117)</f>
        <v/>
      </c>
      <c r="D115" s="4" t="str">
        <f>IF('ET - Rectangular (PNEZD)'!D117="","",'ET - Rectangular (PNEZD)'!D117)</f>
        <v/>
      </c>
      <c r="E115" s="4" t="str">
        <f>IF('ET - Rectangular (PNEZD)'!E117="","",'ET - Rectangular (PNEZD)'!E117)</f>
        <v/>
      </c>
      <c r="F115" s="3" t="str">
        <f>IF('ET - Rectangular (PNEZD)'!F117="","",'ET - Rectangular (PNEZD)'!F117)</f>
        <v/>
      </c>
      <c r="G115" s="3" t="str">
        <f t="shared" si="3"/>
        <v/>
      </c>
      <c r="H115" s="2" t="str">
        <f>IF('ET - Rectangular (PNEZD)'!H117="","",'ET - Rectangular (PNEZD)'!H117)</f>
        <v/>
      </c>
    </row>
    <row r="116" spans="1:8" x14ac:dyDescent="0.25">
      <c r="A116" s="3">
        <v>112</v>
      </c>
      <c r="B116" s="3" t="str">
        <f>IF('ET - Rectangular (PNEZD)'!B118="","",'ET - Rectangular (PNEZD)'!B118)</f>
        <v/>
      </c>
      <c r="C116" s="4" t="str">
        <f>IF('ET - Rectangular (PNEZD)'!C118="","",'ET - Rectangular (PNEZD)'!C118)</f>
        <v/>
      </c>
      <c r="D116" s="4" t="str">
        <f>IF('ET - Rectangular (PNEZD)'!D118="","",'ET - Rectangular (PNEZD)'!D118)</f>
        <v/>
      </c>
      <c r="E116" s="4" t="str">
        <f>IF('ET - Rectangular (PNEZD)'!E118="","",'ET - Rectangular (PNEZD)'!E118)</f>
        <v/>
      </c>
      <c r="F116" s="3" t="str">
        <f>IF('ET - Rectangular (PNEZD)'!F118="","",'ET - Rectangular (PNEZD)'!F118)</f>
        <v/>
      </c>
      <c r="G116" s="3" t="str">
        <f t="shared" si="3"/>
        <v/>
      </c>
      <c r="H116" s="2" t="str">
        <f>IF('ET - Rectangular (PNEZD)'!H118="","",'ET - Rectangular (PNEZD)'!H118)</f>
        <v/>
      </c>
    </row>
    <row r="117" spans="1:8" x14ac:dyDescent="0.25">
      <c r="A117" s="3">
        <v>113</v>
      </c>
      <c r="B117" s="3" t="str">
        <f>IF('ET - Rectangular (PNEZD)'!B119="","",'ET - Rectangular (PNEZD)'!B119)</f>
        <v/>
      </c>
      <c r="C117" s="4" t="str">
        <f>IF('ET - Rectangular (PNEZD)'!C119="","",'ET - Rectangular (PNEZD)'!C119)</f>
        <v/>
      </c>
      <c r="D117" s="4" t="str">
        <f>IF('ET - Rectangular (PNEZD)'!D119="","",'ET - Rectangular (PNEZD)'!D119)</f>
        <v/>
      </c>
      <c r="E117" s="4" t="str">
        <f>IF('ET - Rectangular (PNEZD)'!E119="","",'ET - Rectangular (PNEZD)'!E119)</f>
        <v/>
      </c>
      <c r="F117" s="3" t="str">
        <f>IF('ET - Rectangular (PNEZD)'!F119="","",'ET - Rectangular (PNEZD)'!F119)</f>
        <v/>
      </c>
      <c r="G117" s="3" t="str">
        <f t="shared" si="3"/>
        <v/>
      </c>
      <c r="H117" s="2" t="str">
        <f>IF('ET - Rectangular (PNEZD)'!H119="","",'ET - Rectangular (PNEZD)'!H119)</f>
        <v/>
      </c>
    </row>
    <row r="118" spans="1:8" x14ac:dyDescent="0.25">
      <c r="A118" s="3">
        <v>114</v>
      </c>
      <c r="B118" s="3" t="str">
        <f>IF('ET - Rectangular (PNEZD)'!B120="","",'ET - Rectangular (PNEZD)'!B120)</f>
        <v/>
      </c>
      <c r="C118" s="4" t="str">
        <f>IF('ET - Rectangular (PNEZD)'!C120="","",'ET - Rectangular (PNEZD)'!C120)</f>
        <v/>
      </c>
      <c r="D118" s="4" t="str">
        <f>IF('ET - Rectangular (PNEZD)'!D120="","",'ET - Rectangular (PNEZD)'!D120)</f>
        <v/>
      </c>
      <c r="E118" s="4" t="str">
        <f>IF('ET - Rectangular (PNEZD)'!E120="","",'ET - Rectangular (PNEZD)'!E120)</f>
        <v/>
      </c>
      <c r="F118" s="3" t="str">
        <f>IF('ET - Rectangular (PNEZD)'!F120="","",'ET - Rectangular (PNEZD)'!F120)</f>
        <v/>
      </c>
      <c r="G118" s="3" t="str">
        <f t="shared" si="3"/>
        <v/>
      </c>
      <c r="H118" s="2" t="str">
        <f>IF('ET - Rectangular (PNEZD)'!H120="","",'ET - Rectangular (PNEZD)'!H120)</f>
        <v/>
      </c>
    </row>
    <row r="119" spans="1:8" x14ac:dyDescent="0.25">
      <c r="A119" s="3">
        <v>115</v>
      </c>
      <c r="B119" s="3" t="str">
        <f>IF('ET - Rectangular (PNEZD)'!B121="","",'ET - Rectangular (PNEZD)'!B121)</f>
        <v/>
      </c>
      <c r="C119" s="4" t="str">
        <f>IF('ET - Rectangular (PNEZD)'!C121="","",'ET - Rectangular (PNEZD)'!C121)</f>
        <v/>
      </c>
      <c r="D119" s="4" t="str">
        <f>IF('ET - Rectangular (PNEZD)'!D121="","",'ET - Rectangular (PNEZD)'!D121)</f>
        <v/>
      </c>
      <c r="E119" s="4" t="str">
        <f>IF('ET - Rectangular (PNEZD)'!E121="","",'ET - Rectangular (PNEZD)'!E121)</f>
        <v/>
      </c>
      <c r="F119" s="3" t="str">
        <f>IF('ET - Rectangular (PNEZD)'!F121="","",'ET - Rectangular (PNEZD)'!F121)</f>
        <v/>
      </c>
      <c r="G119" s="3" t="str">
        <f t="shared" si="3"/>
        <v/>
      </c>
      <c r="H119" s="2" t="str">
        <f>IF('ET - Rectangular (PNEZD)'!H121="","",'ET - Rectangular (PNEZD)'!H121)</f>
        <v/>
      </c>
    </row>
    <row r="120" spans="1:8" x14ac:dyDescent="0.25">
      <c r="A120" s="3">
        <v>116</v>
      </c>
      <c r="B120" s="3" t="str">
        <f>IF('ET - Rectangular (PNEZD)'!B122="","",'ET - Rectangular (PNEZD)'!B122)</f>
        <v/>
      </c>
      <c r="C120" s="4" t="str">
        <f>IF('ET - Rectangular (PNEZD)'!C122="","",'ET - Rectangular (PNEZD)'!C122)</f>
        <v/>
      </c>
      <c r="D120" s="4" t="str">
        <f>IF('ET - Rectangular (PNEZD)'!D122="","",'ET - Rectangular (PNEZD)'!D122)</f>
        <v/>
      </c>
      <c r="E120" s="4" t="str">
        <f>IF('ET - Rectangular (PNEZD)'!E122="","",'ET - Rectangular (PNEZD)'!E122)</f>
        <v/>
      </c>
      <c r="F120" s="3" t="str">
        <f>IF('ET - Rectangular (PNEZD)'!F122="","",'ET - Rectangular (PNEZD)'!F122)</f>
        <v/>
      </c>
      <c r="G120" s="3" t="str">
        <f t="shared" si="3"/>
        <v/>
      </c>
      <c r="H120" s="2" t="str">
        <f>IF('ET - Rectangular (PNEZD)'!H122="","",'ET - Rectangular (PNEZD)'!H122)</f>
        <v/>
      </c>
    </row>
    <row r="121" spans="1:8" x14ac:dyDescent="0.25">
      <c r="A121" s="3">
        <v>117</v>
      </c>
      <c r="B121" s="3" t="str">
        <f>IF('ET - Rectangular (PNEZD)'!B123="","",'ET - Rectangular (PNEZD)'!B123)</f>
        <v/>
      </c>
      <c r="C121" s="4" t="str">
        <f>IF('ET - Rectangular (PNEZD)'!C123="","",'ET - Rectangular (PNEZD)'!C123)</f>
        <v/>
      </c>
      <c r="D121" s="4" t="str">
        <f>IF('ET - Rectangular (PNEZD)'!D123="","",'ET - Rectangular (PNEZD)'!D123)</f>
        <v/>
      </c>
      <c r="E121" s="4" t="str">
        <f>IF('ET - Rectangular (PNEZD)'!E123="","",'ET - Rectangular (PNEZD)'!E123)</f>
        <v/>
      </c>
      <c r="F121" s="3" t="str">
        <f>IF('ET - Rectangular (PNEZD)'!F123="","",'ET - Rectangular (PNEZD)'!F123)</f>
        <v/>
      </c>
      <c r="G121" s="3" t="str">
        <f t="shared" si="3"/>
        <v/>
      </c>
      <c r="H121" s="2" t="str">
        <f>IF('ET - Rectangular (PNEZD)'!H123="","",'ET - Rectangular (PNEZD)'!H123)</f>
        <v/>
      </c>
    </row>
    <row r="122" spans="1:8" x14ac:dyDescent="0.25">
      <c r="A122" s="3">
        <v>118</v>
      </c>
      <c r="B122" s="3" t="str">
        <f>IF('ET - Rectangular (PNEZD)'!B124="","",'ET - Rectangular (PNEZD)'!B124)</f>
        <v/>
      </c>
      <c r="C122" s="4" t="str">
        <f>IF('ET - Rectangular (PNEZD)'!C124="","",'ET - Rectangular (PNEZD)'!C124)</f>
        <v/>
      </c>
      <c r="D122" s="4" t="str">
        <f>IF('ET - Rectangular (PNEZD)'!D124="","",'ET - Rectangular (PNEZD)'!D124)</f>
        <v/>
      </c>
      <c r="E122" s="4" t="str">
        <f>IF('ET - Rectangular (PNEZD)'!E124="","",'ET - Rectangular (PNEZD)'!E124)</f>
        <v/>
      </c>
      <c r="F122" s="3" t="str">
        <f>IF('ET - Rectangular (PNEZD)'!F124="","",'ET - Rectangular (PNEZD)'!F124)</f>
        <v/>
      </c>
      <c r="G122" s="3" t="str">
        <f t="shared" si="3"/>
        <v/>
      </c>
      <c r="H122" s="2" t="str">
        <f>IF('ET - Rectangular (PNEZD)'!H124="","",'ET - Rectangular (PNEZD)'!H124)</f>
        <v/>
      </c>
    </row>
    <row r="123" spans="1:8" x14ac:dyDescent="0.25">
      <c r="A123" s="3">
        <v>119</v>
      </c>
      <c r="B123" s="3" t="str">
        <f>IF('ET - Rectangular (PNEZD)'!B125="","",'ET - Rectangular (PNEZD)'!B125)</f>
        <v/>
      </c>
      <c r="C123" s="4" t="str">
        <f>IF('ET - Rectangular (PNEZD)'!C125="","",'ET - Rectangular (PNEZD)'!C125)</f>
        <v/>
      </c>
      <c r="D123" s="4" t="str">
        <f>IF('ET - Rectangular (PNEZD)'!D125="","",'ET - Rectangular (PNEZD)'!D125)</f>
        <v/>
      </c>
      <c r="E123" s="4" t="str">
        <f>IF('ET - Rectangular (PNEZD)'!E125="","",'ET - Rectangular (PNEZD)'!E125)</f>
        <v/>
      </c>
      <c r="F123" s="3" t="str">
        <f>IF('ET - Rectangular (PNEZD)'!F125="","",'ET - Rectangular (PNEZD)'!F125)</f>
        <v/>
      </c>
      <c r="G123" s="3" t="str">
        <f t="shared" si="3"/>
        <v/>
      </c>
      <c r="H123" s="2" t="str">
        <f>IF('ET - Rectangular (PNEZD)'!H125="","",'ET - Rectangular (PNEZD)'!H125)</f>
        <v/>
      </c>
    </row>
    <row r="124" spans="1:8" x14ac:dyDescent="0.25">
      <c r="A124" s="3">
        <v>120</v>
      </c>
      <c r="B124" s="3" t="str">
        <f>IF('ET - Rectangular (PNEZD)'!B126="","",'ET - Rectangular (PNEZD)'!B126)</f>
        <v/>
      </c>
      <c r="C124" s="4" t="str">
        <f>IF('ET - Rectangular (PNEZD)'!C126="","",'ET - Rectangular (PNEZD)'!C126)</f>
        <v/>
      </c>
      <c r="D124" s="4" t="str">
        <f>IF('ET - Rectangular (PNEZD)'!D126="","",'ET - Rectangular (PNEZD)'!D126)</f>
        <v/>
      </c>
      <c r="E124" s="4" t="str">
        <f>IF('ET - Rectangular (PNEZD)'!E126="","",'ET - Rectangular (PNEZD)'!E126)</f>
        <v/>
      </c>
      <c r="F124" s="3" t="str">
        <f>IF('ET - Rectangular (PNEZD)'!F126="","",'ET - Rectangular (PNEZD)'!F126)</f>
        <v/>
      </c>
      <c r="G124" s="3" t="str">
        <f t="shared" si="3"/>
        <v/>
      </c>
      <c r="H124" s="2" t="str">
        <f>IF('ET - Rectangular (PNEZD)'!H126="","",'ET - Rectangular (PNEZD)'!H126)</f>
        <v/>
      </c>
    </row>
    <row r="125" spans="1:8" x14ac:dyDescent="0.25">
      <c r="A125" s="3">
        <v>121</v>
      </c>
      <c r="B125" s="3" t="str">
        <f>IF('ET - Rectangular (PNEZD)'!B127="","",'ET - Rectangular (PNEZD)'!B127)</f>
        <v/>
      </c>
      <c r="C125" s="4" t="str">
        <f>IF('ET - Rectangular (PNEZD)'!C127="","",'ET - Rectangular (PNEZD)'!C127)</f>
        <v/>
      </c>
      <c r="D125" s="4" t="str">
        <f>IF('ET - Rectangular (PNEZD)'!D127="","",'ET - Rectangular (PNEZD)'!D127)</f>
        <v/>
      </c>
      <c r="E125" s="4" t="str">
        <f>IF('ET - Rectangular (PNEZD)'!E127="","",'ET - Rectangular (PNEZD)'!E127)</f>
        <v/>
      </c>
      <c r="F125" s="3" t="str">
        <f>IF('ET - Rectangular (PNEZD)'!F127="","",'ET - Rectangular (PNEZD)'!F127)</f>
        <v/>
      </c>
      <c r="G125" s="3" t="str">
        <f t="shared" si="3"/>
        <v/>
      </c>
      <c r="H125" s="2" t="str">
        <f>IF('ET - Rectangular (PNEZD)'!H127="","",'ET - Rectangular (PNEZD)'!H127)</f>
        <v/>
      </c>
    </row>
    <row r="126" spans="1:8" x14ac:dyDescent="0.25">
      <c r="A126" s="3">
        <v>122</v>
      </c>
      <c r="B126" s="3" t="str">
        <f>IF('ET - Rectangular (PNEZD)'!B128="","",'ET - Rectangular (PNEZD)'!B128)</f>
        <v/>
      </c>
      <c r="C126" s="4" t="str">
        <f>IF('ET - Rectangular (PNEZD)'!C128="","",'ET - Rectangular (PNEZD)'!C128)</f>
        <v/>
      </c>
      <c r="D126" s="4" t="str">
        <f>IF('ET - Rectangular (PNEZD)'!D128="","",'ET - Rectangular (PNEZD)'!D128)</f>
        <v/>
      </c>
      <c r="E126" s="4" t="str">
        <f>IF('ET - Rectangular (PNEZD)'!E128="","",'ET - Rectangular (PNEZD)'!E128)</f>
        <v/>
      </c>
      <c r="F126" s="3" t="str">
        <f>IF('ET - Rectangular (PNEZD)'!F128="","",'ET - Rectangular (PNEZD)'!F128)</f>
        <v/>
      </c>
      <c r="G126" s="3" t="str">
        <f t="shared" si="3"/>
        <v/>
      </c>
      <c r="H126" s="2" t="str">
        <f>IF('ET - Rectangular (PNEZD)'!H128="","",'ET - Rectangular (PNEZD)'!H128)</f>
        <v/>
      </c>
    </row>
    <row r="127" spans="1:8" x14ac:dyDescent="0.25">
      <c r="A127" s="3">
        <v>123</v>
      </c>
      <c r="B127" s="3" t="str">
        <f>IF('ET - Rectangular (PNEZD)'!B129="","",'ET - Rectangular (PNEZD)'!B129)</f>
        <v/>
      </c>
      <c r="C127" s="4" t="str">
        <f>IF('ET - Rectangular (PNEZD)'!C129="","",'ET - Rectangular (PNEZD)'!C129)</f>
        <v/>
      </c>
      <c r="D127" s="4" t="str">
        <f>IF('ET - Rectangular (PNEZD)'!D129="","",'ET - Rectangular (PNEZD)'!D129)</f>
        <v/>
      </c>
      <c r="E127" s="4" t="str">
        <f>IF('ET - Rectangular (PNEZD)'!E129="","",'ET - Rectangular (PNEZD)'!E129)</f>
        <v/>
      </c>
      <c r="F127" s="3" t="str">
        <f>IF('ET - Rectangular (PNEZD)'!F129="","",'ET - Rectangular (PNEZD)'!F129)</f>
        <v/>
      </c>
      <c r="G127" s="3" t="str">
        <f t="shared" si="3"/>
        <v/>
      </c>
      <c r="H127" s="2" t="str">
        <f>IF('ET - Rectangular (PNEZD)'!H129="","",'ET - Rectangular (PNEZD)'!H129)</f>
        <v/>
      </c>
    </row>
    <row r="128" spans="1:8" x14ac:dyDescent="0.25">
      <c r="A128" s="3">
        <v>124</v>
      </c>
      <c r="B128" s="3" t="str">
        <f>IF('ET - Rectangular (PNEZD)'!B130="","",'ET - Rectangular (PNEZD)'!B130)</f>
        <v/>
      </c>
      <c r="C128" s="4" t="str">
        <f>IF('ET - Rectangular (PNEZD)'!C130="","",'ET - Rectangular (PNEZD)'!C130)</f>
        <v/>
      </c>
      <c r="D128" s="4" t="str">
        <f>IF('ET - Rectangular (PNEZD)'!D130="","",'ET - Rectangular (PNEZD)'!D130)</f>
        <v/>
      </c>
      <c r="E128" s="4" t="str">
        <f>IF('ET - Rectangular (PNEZD)'!E130="","",'ET - Rectangular (PNEZD)'!E130)</f>
        <v/>
      </c>
      <c r="F128" s="3" t="str">
        <f>IF('ET - Rectangular (PNEZD)'!F130="","",'ET - Rectangular (PNEZD)'!F130)</f>
        <v/>
      </c>
      <c r="G128" s="3" t="str">
        <f t="shared" si="3"/>
        <v/>
      </c>
      <c r="H128" s="2" t="str">
        <f>IF('ET - Rectangular (PNEZD)'!H130="","",'ET - Rectangular (PNEZD)'!H130)</f>
        <v/>
      </c>
    </row>
    <row r="129" spans="1:8" x14ac:dyDescent="0.25">
      <c r="A129" s="3">
        <v>125</v>
      </c>
      <c r="B129" s="3" t="str">
        <f>IF('ET - Rectangular (PNEZD)'!B131="","",'ET - Rectangular (PNEZD)'!B131)</f>
        <v/>
      </c>
      <c r="C129" s="4" t="str">
        <f>IF('ET - Rectangular (PNEZD)'!C131="","",'ET - Rectangular (PNEZD)'!C131)</f>
        <v/>
      </c>
      <c r="D129" s="4" t="str">
        <f>IF('ET - Rectangular (PNEZD)'!D131="","",'ET - Rectangular (PNEZD)'!D131)</f>
        <v/>
      </c>
      <c r="E129" s="4" t="str">
        <f>IF('ET - Rectangular (PNEZD)'!E131="","",'ET - Rectangular (PNEZD)'!E131)</f>
        <v/>
      </c>
      <c r="F129" s="3" t="str">
        <f>IF('ET - Rectangular (PNEZD)'!F131="","",'ET - Rectangular (PNEZD)'!F131)</f>
        <v/>
      </c>
      <c r="G129" s="3" t="str">
        <f t="shared" si="3"/>
        <v/>
      </c>
      <c r="H129" s="2" t="str">
        <f>IF('ET - Rectangular (PNEZD)'!H131="","",'ET - Rectangular (PNEZD)'!H131)</f>
        <v/>
      </c>
    </row>
    <row r="130" spans="1:8" x14ac:dyDescent="0.25">
      <c r="A130" s="3">
        <v>126</v>
      </c>
      <c r="B130" s="3" t="str">
        <f>IF('ET - Rectangular (PNEZD)'!B132="","",'ET - Rectangular (PNEZD)'!B132)</f>
        <v/>
      </c>
      <c r="C130" s="4" t="str">
        <f>IF('ET - Rectangular (PNEZD)'!C132="","",'ET - Rectangular (PNEZD)'!C132)</f>
        <v/>
      </c>
      <c r="D130" s="4" t="str">
        <f>IF('ET - Rectangular (PNEZD)'!D132="","",'ET - Rectangular (PNEZD)'!D132)</f>
        <v/>
      </c>
      <c r="E130" s="4" t="str">
        <f>IF('ET - Rectangular (PNEZD)'!E132="","",'ET - Rectangular (PNEZD)'!E132)</f>
        <v/>
      </c>
      <c r="F130" s="3" t="str">
        <f>IF('ET - Rectangular (PNEZD)'!F132="","",'ET - Rectangular (PNEZD)'!F132)</f>
        <v/>
      </c>
      <c r="G130" s="3" t="str">
        <f t="shared" si="3"/>
        <v/>
      </c>
      <c r="H130" s="2" t="str">
        <f>IF('ET - Rectangular (PNEZD)'!H132="","",'ET - Rectangular (PNEZD)'!H132)</f>
        <v/>
      </c>
    </row>
    <row r="131" spans="1:8" x14ac:dyDescent="0.25">
      <c r="A131" s="3">
        <v>127</v>
      </c>
      <c r="B131" s="3" t="str">
        <f>IF('ET - Rectangular (PNEZD)'!B133="","",'ET - Rectangular (PNEZD)'!B133)</f>
        <v/>
      </c>
      <c r="C131" s="4" t="str">
        <f>IF('ET - Rectangular (PNEZD)'!C133="","",'ET - Rectangular (PNEZD)'!C133)</f>
        <v/>
      </c>
      <c r="D131" s="4" t="str">
        <f>IF('ET - Rectangular (PNEZD)'!D133="","",'ET - Rectangular (PNEZD)'!D133)</f>
        <v/>
      </c>
      <c r="E131" s="4" t="str">
        <f>IF('ET - Rectangular (PNEZD)'!E133="","",'ET - Rectangular (PNEZD)'!E133)</f>
        <v/>
      </c>
      <c r="F131" s="3" t="str">
        <f>IF('ET - Rectangular (PNEZD)'!F133="","",'ET - Rectangular (PNEZD)'!F133)</f>
        <v/>
      </c>
      <c r="G131" s="3" t="str">
        <f t="shared" si="3"/>
        <v/>
      </c>
      <c r="H131" s="2" t="str">
        <f>IF('ET - Rectangular (PNEZD)'!H133="","",'ET - Rectangular (PNEZD)'!H133)</f>
        <v/>
      </c>
    </row>
    <row r="132" spans="1:8" x14ac:dyDescent="0.25">
      <c r="A132" s="3">
        <v>128</v>
      </c>
      <c r="B132" s="3" t="str">
        <f>IF('ET - Rectangular (PNEZD)'!B134="","",'ET - Rectangular (PNEZD)'!B134)</f>
        <v/>
      </c>
      <c r="C132" s="4" t="str">
        <f>IF('ET - Rectangular (PNEZD)'!C134="","",'ET - Rectangular (PNEZD)'!C134)</f>
        <v/>
      </c>
      <c r="D132" s="4" t="str">
        <f>IF('ET - Rectangular (PNEZD)'!D134="","",'ET - Rectangular (PNEZD)'!D134)</f>
        <v/>
      </c>
      <c r="E132" s="4" t="str">
        <f>IF('ET - Rectangular (PNEZD)'!E134="","",'ET - Rectangular (PNEZD)'!E134)</f>
        <v/>
      </c>
      <c r="F132" s="3" t="str">
        <f>IF('ET - Rectangular (PNEZD)'!F134="","",'ET - Rectangular (PNEZD)'!F134)</f>
        <v/>
      </c>
      <c r="G132" s="3" t="str">
        <f t="shared" si="3"/>
        <v/>
      </c>
      <c r="H132" s="2" t="str">
        <f>IF('ET - Rectangular (PNEZD)'!H134="","",'ET - Rectangular (PNEZD)'!H134)</f>
        <v/>
      </c>
    </row>
    <row r="133" spans="1:8" x14ac:dyDescent="0.25">
      <c r="A133" s="3">
        <v>129</v>
      </c>
      <c r="B133" s="3" t="str">
        <f>IF('ET - Rectangular (PNEZD)'!B135="","",'ET - Rectangular (PNEZD)'!B135)</f>
        <v/>
      </c>
      <c r="C133" s="4" t="str">
        <f>IF('ET - Rectangular (PNEZD)'!C135="","",'ET - Rectangular (PNEZD)'!C135)</f>
        <v/>
      </c>
      <c r="D133" s="4" t="str">
        <f>IF('ET - Rectangular (PNEZD)'!D135="","",'ET - Rectangular (PNEZD)'!D135)</f>
        <v/>
      </c>
      <c r="E133" s="4" t="str">
        <f>IF('ET - Rectangular (PNEZD)'!E135="","",'ET - Rectangular (PNEZD)'!E135)</f>
        <v/>
      </c>
      <c r="F133" s="3" t="str">
        <f>IF('ET - Rectangular (PNEZD)'!F135="","",'ET - Rectangular (PNEZD)'!F135)</f>
        <v/>
      </c>
      <c r="G133" s="3" t="str">
        <f t="shared" ref="G133:G164" si="4">IF(B133="","","ET Rect.")</f>
        <v/>
      </c>
      <c r="H133" s="2" t="str">
        <f>IF('ET - Rectangular (PNEZD)'!H135="","",'ET - Rectangular (PNEZD)'!H135)</f>
        <v/>
      </c>
    </row>
    <row r="134" spans="1:8" x14ac:dyDescent="0.25">
      <c r="A134" s="3">
        <v>130</v>
      </c>
      <c r="B134" s="3" t="str">
        <f>IF('ET - Rectangular (PNEZD)'!B136="","",'ET - Rectangular (PNEZD)'!B136)</f>
        <v/>
      </c>
      <c r="C134" s="4" t="str">
        <f>IF('ET - Rectangular (PNEZD)'!C136="","",'ET - Rectangular (PNEZD)'!C136)</f>
        <v/>
      </c>
      <c r="D134" s="4" t="str">
        <f>IF('ET - Rectangular (PNEZD)'!D136="","",'ET - Rectangular (PNEZD)'!D136)</f>
        <v/>
      </c>
      <c r="E134" s="4" t="str">
        <f>IF('ET - Rectangular (PNEZD)'!E136="","",'ET - Rectangular (PNEZD)'!E136)</f>
        <v/>
      </c>
      <c r="F134" s="3" t="str">
        <f>IF('ET - Rectangular (PNEZD)'!F136="","",'ET - Rectangular (PNEZD)'!F136)</f>
        <v/>
      </c>
      <c r="G134" s="3" t="str">
        <f t="shared" si="4"/>
        <v/>
      </c>
      <c r="H134" s="2" t="str">
        <f>IF('ET - Rectangular (PNEZD)'!H136="","",'ET - Rectangular (PNEZD)'!H136)</f>
        <v/>
      </c>
    </row>
    <row r="135" spans="1:8" x14ac:dyDescent="0.25">
      <c r="A135" s="3">
        <v>131</v>
      </c>
      <c r="B135" s="3" t="str">
        <f>IF('ET - Rectangular (PNEZD)'!B137="","",'ET - Rectangular (PNEZD)'!B137)</f>
        <v/>
      </c>
      <c r="C135" s="4" t="str">
        <f>IF('ET - Rectangular (PNEZD)'!C137="","",'ET - Rectangular (PNEZD)'!C137)</f>
        <v/>
      </c>
      <c r="D135" s="4" t="str">
        <f>IF('ET - Rectangular (PNEZD)'!D137="","",'ET - Rectangular (PNEZD)'!D137)</f>
        <v/>
      </c>
      <c r="E135" s="4" t="str">
        <f>IF('ET - Rectangular (PNEZD)'!E137="","",'ET - Rectangular (PNEZD)'!E137)</f>
        <v/>
      </c>
      <c r="F135" s="3" t="str">
        <f>IF('ET - Rectangular (PNEZD)'!F137="","",'ET - Rectangular (PNEZD)'!F137)</f>
        <v/>
      </c>
      <c r="G135" s="3" t="str">
        <f t="shared" si="4"/>
        <v/>
      </c>
      <c r="H135" s="2" t="str">
        <f>IF('ET - Rectangular (PNEZD)'!H137="","",'ET - Rectangular (PNEZD)'!H137)</f>
        <v/>
      </c>
    </row>
    <row r="136" spans="1:8" x14ac:dyDescent="0.25">
      <c r="A136" s="3">
        <v>132</v>
      </c>
      <c r="B136" s="3" t="str">
        <f>IF('ET - Rectangular (PNEZD)'!B138="","",'ET - Rectangular (PNEZD)'!B138)</f>
        <v/>
      </c>
      <c r="C136" s="4" t="str">
        <f>IF('ET - Rectangular (PNEZD)'!C138="","",'ET - Rectangular (PNEZD)'!C138)</f>
        <v/>
      </c>
      <c r="D136" s="4" t="str">
        <f>IF('ET - Rectangular (PNEZD)'!D138="","",'ET - Rectangular (PNEZD)'!D138)</f>
        <v/>
      </c>
      <c r="E136" s="4" t="str">
        <f>IF('ET - Rectangular (PNEZD)'!E138="","",'ET - Rectangular (PNEZD)'!E138)</f>
        <v/>
      </c>
      <c r="F136" s="3" t="str">
        <f>IF('ET - Rectangular (PNEZD)'!F138="","",'ET - Rectangular (PNEZD)'!F138)</f>
        <v/>
      </c>
      <c r="G136" s="3" t="str">
        <f t="shared" si="4"/>
        <v/>
      </c>
      <c r="H136" s="2" t="str">
        <f>IF('ET - Rectangular (PNEZD)'!H138="","",'ET - Rectangular (PNEZD)'!H138)</f>
        <v/>
      </c>
    </row>
    <row r="137" spans="1:8" x14ac:dyDescent="0.25">
      <c r="A137" s="3">
        <v>133</v>
      </c>
      <c r="B137" s="3" t="str">
        <f>IF('ET - Rectangular (PNEZD)'!B139="","",'ET - Rectangular (PNEZD)'!B139)</f>
        <v/>
      </c>
      <c r="C137" s="4" t="str">
        <f>IF('ET - Rectangular (PNEZD)'!C139="","",'ET - Rectangular (PNEZD)'!C139)</f>
        <v/>
      </c>
      <c r="D137" s="4" t="str">
        <f>IF('ET - Rectangular (PNEZD)'!D139="","",'ET - Rectangular (PNEZD)'!D139)</f>
        <v/>
      </c>
      <c r="E137" s="4" t="str">
        <f>IF('ET - Rectangular (PNEZD)'!E139="","",'ET - Rectangular (PNEZD)'!E139)</f>
        <v/>
      </c>
      <c r="F137" s="3" t="str">
        <f>IF('ET - Rectangular (PNEZD)'!F139="","",'ET - Rectangular (PNEZD)'!F139)</f>
        <v/>
      </c>
      <c r="G137" s="3" t="str">
        <f t="shared" si="4"/>
        <v/>
      </c>
      <c r="H137" s="2" t="str">
        <f>IF('ET - Rectangular (PNEZD)'!H139="","",'ET - Rectangular (PNEZD)'!H139)</f>
        <v/>
      </c>
    </row>
    <row r="138" spans="1:8" x14ac:dyDescent="0.25">
      <c r="A138" s="3">
        <v>134</v>
      </c>
      <c r="B138" s="3" t="str">
        <f>IF('ET - Rectangular (PNEZD)'!B140="","",'ET - Rectangular (PNEZD)'!B140)</f>
        <v/>
      </c>
      <c r="C138" s="4" t="str">
        <f>IF('ET - Rectangular (PNEZD)'!C140="","",'ET - Rectangular (PNEZD)'!C140)</f>
        <v/>
      </c>
      <c r="D138" s="4" t="str">
        <f>IF('ET - Rectangular (PNEZD)'!D140="","",'ET - Rectangular (PNEZD)'!D140)</f>
        <v/>
      </c>
      <c r="E138" s="4" t="str">
        <f>IF('ET - Rectangular (PNEZD)'!E140="","",'ET - Rectangular (PNEZD)'!E140)</f>
        <v/>
      </c>
      <c r="F138" s="3" t="str">
        <f>IF('ET - Rectangular (PNEZD)'!F140="","",'ET - Rectangular (PNEZD)'!F140)</f>
        <v/>
      </c>
      <c r="G138" s="3" t="str">
        <f t="shared" si="4"/>
        <v/>
      </c>
      <c r="H138" s="2" t="str">
        <f>IF('ET - Rectangular (PNEZD)'!H140="","",'ET - Rectangular (PNEZD)'!H140)</f>
        <v/>
      </c>
    </row>
    <row r="139" spans="1:8" x14ac:dyDescent="0.25">
      <c r="A139" s="3">
        <v>135</v>
      </c>
      <c r="B139" s="3" t="str">
        <f>IF('ET - Rectangular (PNEZD)'!B141="","",'ET - Rectangular (PNEZD)'!B141)</f>
        <v/>
      </c>
      <c r="C139" s="4" t="str">
        <f>IF('ET - Rectangular (PNEZD)'!C141="","",'ET - Rectangular (PNEZD)'!C141)</f>
        <v/>
      </c>
      <c r="D139" s="4" t="str">
        <f>IF('ET - Rectangular (PNEZD)'!D141="","",'ET - Rectangular (PNEZD)'!D141)</f>
        <v/>
      </c>
      <c r="E139" s="4" t="str">
        <f>IF('ET - Rectangular (PNEZD)'!E141="","",'ET - Rectangular (PNEZD)'!E141)</f>
        <v/>
      </c>
      <c r="F139" s="3" t="str">
        <f>IF('ET - Rectangular (PNEZD)'!F141="","",'ET - Rectangular (PNEZD)'!F141)</f>
        <v/>
      </c>
      <c r="G139" s="3" t="str">
        <f t="shared" si="4"/>
        <v/>
      </c>
      <c r="H139" s="2" t="str">
        <f>IF('ET - Rectangular (PNEZD)'!H141="","",'ET - Rectangular (PNEZD)'!H141)</f>
        <v/>
      </c>
    </row>
    <row r="140" spans="1:8" x14ac:dyDescent="0.25">
      <c r="A140" s="3">
        <v>136</v>
      </c>
      <c r="B140" s="3" t="str">
        <f>IF('ET - Rectangular (PNEZD)'!B142="","",'ET - Rectangular (PNEZD)'!B142)</f>
        <v/>
      </c>
      <c r="C140" s="4" t="str">
        <f>IF('ET - Rectangular (PNEZD)'!C142="","",'ET - Rectangular (PNEZD)'!C142)</f>
        <v/>
      </c>
      <c r="D140" s="4" t="str">
        <f>IF('ET - Rectangular (PNEZD)'!D142="","",'ET - Rectangular (PNEZD)'!D142)</f>
        <v/>
      </c>
      <c r="E140" s="4" t="str">
        <f>IF('ET - Rectangular (PNEZD)'!E142="","",'ET - Rectangular (PNEZD)'!E142)</f>
        <v/>
      </c>
      <c r="F140" s="3" t="str">
        <f>IF('ET - Rectangular (PNEZD)'!F142="","",'ET - Rectangular (PNEZD)'!F142)</f>
        <v/>
      </c>
      <c r="G140" s="3" t="str">
        <f t="shared" si="4"/>
        <v/>
      </c>
      <c r="H140" s="2" t="str">
        <f>IF('ET - Rectangular (PNEZD)'!H142="","",'ET - Rectangular (PNEZD)'!H142)</f>
        <v/>
      </c>
    </row>
    <row r="141" spans="1:8" x14ac:dyDescent="0.25">
      <c r="A141" s="3">
        <v>137</v>
      </c>
      <c r="B141" s="3" t="str">
        <f>IF('ET - Rectangular (PNEZD)'!B143="","",'ET - Rectangular (PNEZD)'!B143)</f>
        <v/>
      </c>
      <c r="C141" s="4" t="str">
        <f>IF('ET - Rectangular (PNEZD)'!C143="","",'ET - Rectangular (PNEZD)'!C143)</f>
        <v/>
      </c>
      <c r="D141" s="4" t="str">
        <f>IF('ET - Rectangular (PNEZD)'!D143="","",'ET - Rectangular (PNEZD)'!D143)</f>
        <v/>
      </c>
      <c r="E141" s="4" t="str">
        <f>IF('ET - Rectangular (PNEZD)'!E143="","",'ET - Rectangular (PNEZD)'!E143)</f>
        <v/>
      </c>
      <c r="F141" s="3" t="str">
        <f>IF('ET - Rectangular (PNEZD)'!F143="","",'ET - Rectangular (PNEZD)'!F143)</f>
        <v/>
      </c>
      <c r="G141" s="3" t="str">
        <f t="shared" si="4"/>
        <v/>
      </c>
      <c r="H141" s="2" t="str">
        <f>IF('ET - Rectangular (PNEZD)'!H143="","",'ET - Rectangular (PNEZD)'!H143)</f>
        <v/>
      </c>
    </row>
    <row r="142" spans="1:8" x14ac:dyDescent="0.25">
      <c r="A142" s="3">
        <v>138</v>
      </c>
      <c r="B142" s="3" t="str">
        <f>IF('ET - Rectangular (PNEZD)'!B144="","",'ET - Rectangular (PNEZD)'!B144)</f>
        <v/>
      </c>
      <c r="C142" s="4" t="str">
        <f>IF('ET - Rectangular (PNEZD)'!C144="","",'ET - Rectangular (PNEZD)'!C144)</f>
        <v/>
      </c>
      <c r="D142" s="4" t="str">
        <f>IF('ET - Rectangular (PNEZD)'!D144="","",'ET - Rectangular (PNEZD)'!D144)</f>
        <v/>
      </c>
      <c r="E142" s="4" t="str">
        <f>IF('ET - Rectangular (PNEZD)'!E144="","",'ET - Rectangular (PNEZD)'!E144)</f>
        <v/>
      </c>
      <c r="F142" s="3" t="str">
        <f>IF('ET - Rectangular (PNEZD)'!F144="","",'ET - Rectangular (PNEZD)'!F144)</f>
        <v/>
      </c>
      <c r="G142" s="3" t="str">
        <f t="shared" si="4"/>
        <v/>
      </c>
      <c r="H142" s="2" t="str">
        <f>IF('ET - Rectangular (PNEZD)'!H144="","",'ET - Rectangular (PNEZD)'!H144)</f>
        <v/>
      </c>
    </row>
    <row r="143" spans="1:8" x14ac:dyDescent="0.25">
      <c r="A143" s="3">
        <v>139</v>
      </c>
      <c r="B143" s="3" t="str">
        <f>IF('ET - Rectangular (PNEZD)'!B145="","",'ET - Rectangular (PNEZD)'!B145)</f>
        <v/>
      </c>
      <c r="C143" s="4" t="str">
        <f>IF('ET - Rectangular (PNEZD)'!C145="","",'ET - Rectangular (PNEZD)'!C145)</f>
        <v/>
      </c>
      <c r="D143" s="4" t="str">
        <f>IF('ET - Rectangular (PNEZD)'!D145="","",'ET - Rectangular (PNEZD)'!D145)</f>
        <v/>
      </c>
      <c r="E143" s="4" t="str">
        <f>IF('ET - Rectangular (PNEZD)'!E145="","",'ET - Rectangular (PNEZD)'!E145)</f>
        <v/>
      </c>
      <c r="F143" s="3" t="str">
        <f>IF('ET - Rectangular (PNEZD)'!F145="","",'ET - Rectangular (PNEZD)'!F145)</f>
        <v/>
      </c>
      <c r="G143" s="3" t="str">
        <f t="shared" si="4"/>
        <v/>
      </c>
      <c r="H143" s="2" t="str">
        <f>IF('ET - Rectangular (PNEZD)'!H145="","",'ET - Rectangular (PNEZD)'!H145)</f>
        <v/>
      </c>
    </row>
    <row r="144" spans="1:8" x14ac:dyDescent="0.25">
      <c r="A144" s="3">
        <v>140</v>
      </c>
      <c r="B144" s="3" t="str">
        <f>IF('ET - Rectangular (PNEZD)'!B146="","",'ET - Rectangular (PNEZD)'!B146)</f>
        <v/>
      </c>
      <c r="C144" s="4" t="str">
        <f>IF('ET - Rectangular (PNEZD)'!C146="","",'ET - Rectangular (PNEZD)'!C146)</f>
        <v/>
      </c>
      <c r="D144" s="4" t="str">
        <f>IF('ET - Rectangular (PNEZD)'!D146="","",'ET - Rectangular (PNEZD)'!D146)</f>
        <v/>
      </c>
      <c r="E144" s="4" t="str">
        <f>IF('ET - Rectangular (PNEZD)'!E146="","",'ET - Rectangular (PNEZD)'!E146)</f>
        <v/>
      </c>
      <c r="F144" s="3" t="str">
        <f>IF('ET - Rectangular (PNEZD)'!F146="","",'ET - Rectangular (PNEZD)'!F146)</f>
        <v/>
      </c>
      <c r="G144" s="3" t="str">
        <f t="shared" si="4"/>
        <v/>
      </c>
      <c r="H144" s="2" t="str">
        <f>IF('ET - Rectangular (PNEZD)'!H146="","",'ET - Rectangular (PNEZD)'!H146)</f>
        <v/>
      </c>
    </row>
    <row r="145" spans="1:8" x14ac:dyDescent="0.25">
      <c r="A145" s="3">
        <v>141</v>
      </c>
      <c r="B145" s="3" t="str">
        <f>IF('ET - Rectangular (PNEZD)'!B147="","",'ET - Rectangular (PNEZD)'!B147)</f>
        <v/>
      </c>
      <c r="C145" s="4" t="str">
        <f>IF('ET - Rectangular (PNEZD)'!C147="","",'ET - Rectangular (PNEZD)'!C147)</f>
        <v/>
      </c>
      <c r="D145" s="4" t="str">
        <f>IF('ET - Rectangular (PNEZD)'!D147="","",'ET - Rectangular (PNEZD)'!D147)</f>
        <v/>
      </c>
      <c r="E145" s="4" t="str">
        <f>IF('ET - Rectangular (PNEZD)'!E147="","",'ET - Rectangular (PNEZD)'!E147)</f>
        <v/>
      </c>
      <c r="F145" s="3" t="str">
        <f>IF('ET - Rectangular (PNEZD)'!F147="","",'ET - Rectangular (PNEZD)'!F147)</f>
        <v/>
      </c>
      <c r="G145" s="3" t="str">
        <f t="shared" si="4"/>
        <v/>
      </c>
      <c r="H145" s="2" t="str">
        <f>IF('ET - Rectangular (PNEZD)'!H147="","",'ET - Rectangular (PNEZD)'!H147)</f>
        <v/>
      </c>
    </row>
    <row r="146" spans="1:8" x14ac:dyDescent="0.25">
      <c r="A146" s="3">
        <v>142</v>
      </c>
      <c r="B146" s="3" t="str">
        <f>IF('ET - Rectangular (PNEZD)'!B148="","",'ET - Rectangular (PNEZD)'!B148)</f>
        <v/>
      </c>
      <c r="C146" s="4" t="str">
        <f>IF('ET - Rectangular (PNEZD)'!C148="","",'ET - Rectangular (PNEZD)'!C148)</f>
        <v/>
      </c>
      <c r="D146" s="4" t="str">
        <f>IF('ET - Rectangular (PNEZD)'!D148="","",'ET - Rectangular (PNEZD)'!D148)</f>
        <v/>
      </c>
      <c r="E146" s="4" t="str">
        <f>IF('ET - Rectangular (PNEZD)'!E148="","",'ET - Rectangular (PNEZD)'!E148)</f>
        <v/>
      </c>
      <c r="F146" s="3" t="str">
        <f>IF('ET - Rectangular (PNEZD)'!F148="","",'ET - Rectangular (PNEZD)'!F148)</f>
        <v/>
      </c>
      <c r="G146" s="3" t="str">
        <f t="shared" si="4"/>
        <v/>
      </c>
      <c r="H146" s="2" t="str">
        <f>IF('ET - Rectangular (PNEZD)'!H148="","",'ET - Rectangular (PNEZD)'!H148)</f>
        <v/>
      </c>
    </row>
    <row r="147" spans="1:8" x14ac:dyDescent="0.25">
      <c r="A147" s="3">
        <v>143</v>
      </c>
      <c r="B147" s="3" t="str">
        <f>IF('ET - Rectangular (PNEZD)'!B149="","",'ET - Rectangular (PNEZD)'!B149)</f>
        <v/>
      </c>
      <c r="C147" s="4" t="str">
        <f>IF('ET - Rectangular (PNEZD)'!C149="","",'ET - Rectangular (PNEZD)'!C149)</f>
        <v/>
      </c>
      <c r="D147" s="4" t="str">
        <f>IF('ET - Rectangular (PNEZD)'!D149="","",'ET - Rectangular (PNEZD)'!D149)</f>
        <v/>
      </c>
      <c r="E147" s="4" t="str">
        <f>IF('ET - Rectangular (PNEZD)'!E149="","",'ET - Rectangular (PNEZD)'!E149)</f>
        <v/>
      </c>
      <c r="F147" s="3" t="str">
        <f>IF('ET - Rectangular (PNEZD)'!F149="","",'ET - Rectangular (PNEZD)'!F149)</f>
        <v/>
      </c>
      <c r="G147" s="3" t="str">
        <f t="shared" si="4"/>
        <v/>
      </c>
      <c r="H147" s="2" t="str">
        <f>IF('ET - Rectangular (PNEZD)'!H149="","",'ET - Rectangular (PNEZD)'!H149)</f>
        <v/>
      </c>
    </row>
    <row r="148" spans="1:8" x14ac:dyDescent="0.25">
      <c r="A148" s="3">
        <v>144</v>
      </c>
      <c r="B148" s="3" t="str">
        <f>IF('ET - Rectangular (PNEZD)'!B150="","",'ET - Rectangular (PNEZD)'!B150)</f>
        <v/>
      </c>
      <c r="C148" s="4" t="str">
        <f>IF('ET - Rectangular (PNEZD)'!C150="","",'ET - Rectangular (PNEZD)'!C150)</f>
        <v/>
      </c>
      <c r="D148" s="4" t="str">
        <f>IF('ET - Rectangular (PNEZD)'!D150="","",'ET - Rectangular (PNEZD)'!D150)</f>
        <v/>
      </c>
      <c r="E148" s="4" t="str">
        <f>IF('ET - Rectangular (PNEZD)'!E150="","",'ET - Rectangular (PNEZD)'!E150)</f>
        <v/>
      </c>
      <c r="F148" s="3" t="str">
        <f>IF('ET - Rectangular (PNEZD)'!F150="","",'ET - Rectangular (PNEZD)'!F150)</f>
        <v/>
      </c>
      <c r="G148" s="3" t="str">
        <f t="shared" si="4"/>
        <v/>
      </c>
      <c r="H148" s="2" t="str">
        <f>IF('ET - Rectangular (PNEZD)'!H150="","",'ET - Rectangular (PNEZD)'!H150)</f>
        <v/>
      </c>
    </row>
    <row r="149" spans="1:8" x14ac:dyDescent="0.25">
      <c r="A149" s="3">
        <v>145</v>
      </c>
      <c r="B149" s="3" t="str">
        <f>IF('ET - Rectangular (PNEZD)'!B151="","",'ET - Rectangular (PNEZD)'!B151)</f>
        <v/>
      </c>
      <c r="C149" s="4" t="str">
        <f>IF('ET - Rectangular (PNEZD)'!C151="","",'ET - Rectangular (PNEZD)'!C151)</f>
        <v/>
      </c>
      <c r="D149" s="4" t="str">
        <f>IF('ET - Rectangular (PNEZD)'!D151="","",'ET - Rectangular (PNEZD)'!D151)</f>
        <v/>
      </c>
      <c r="E149" s="4" t="str">
        <f>IF('ET - Rectangular (PNEZD)'!E151="","",'ET - Rectangular (PNEZD)'!E151)</f>
        <v/>
      </c>
      <c r="F149" s="3" t="str">
        <f>IF('ET - Rectangular (PNEZD)'!F151="","",'ET - Rectangular (PNEZD)'!F151)</f>
        <v/>
      </c>
      <c r="G149" s="3" t="str">
        <f t="shared" si="4"/>
        <v/>
      </c>
      <c r="H149" s="2" t="str">
        <f>IF('ET - Rectangular (PNEZD)'!H151="","",'ET - Rectangular (PNEZD)'!H151)</f>
        <v/>
      </c>
    </row>
    <row r="150" spans="1:8" x14ac:dyDescent="0.25">
      <c r="A150" s="3">
        <v>146</v>
      </c>
      <c r="B150" s="3" t="str">
        <f>IF('ET - Rectangular (PNEZD)'!B152="","",'ET - Rectangular (PNEZD)'!B152)</f>
        <v/>
      </c>
      <c r="C150" s="4" t="str">
        <f>IF('ET - Rectangular (PNEZD)'!C152="","",'ET - Rectangular (PNEZD)'!C152)</f>
        <v/>
      </c>
      <c r="D150" s="4" t="str">
        <f>IF('ET - Rectangular (PNEZD)'!D152="","",'ET - Rectangular (PNEZD)'!D152)</f>
        <v/>
      </c>
      <c r="E150" s="4" t="str">
        <f>IF('ET - Rectangular (PNEZD)'!E152="","",'ET - Rectangular (PNEZD)'!E152)</f>
        <v/>
      </c>
      <c r="F150" s="3" t="str">
        <f>IF('ET - Rectangular (PNEZD)'!F152="","",'ET - Rectangular (PNEZD)'!F152)</f>
        <v/>
      </c>
      <c r="G150" s="3" t="str">
        <f t="shared" si="4"/>
        <v/>
      </c>
      <c r="H150" s="2" t="str">
        <f>IF('ET - Rectangular (PNEZD)'!H152="","",'ET - Rectangular (PNEZD)'!H152)</f>
        <v/>
      </c>
    </row>
    <row r="151" spans="1:8" x14ac:dyDescent="0.25">
      <c r="A151" s="3">
        <v>147</v>
      </c>
      <c r="B151" s="3" t="str">
        <f>IF('ET - Rectangular (PNEZD)'!B153="","",'ET - Rectangular (PNEZD)'!B153)</f>
        <v/>
      </c>
      <c r="C151" s="4" t="str">
        <f>IF('ET - Rectangular (PNEZD)'!C153="","",'ET - Rectangular (PNEZD)'!C153)</f>
        <v/>
      </c>
      <c r="D151" s="4" t="str">
        <f>IF('ET - Rectangular (PNEZD)'!D153="","",'ET - Rectangular (PNEZD)'!D153)</f>
        <v/>
      </c>
      <c r="E151" s="4" t="str">
        <f>IF('ET - Rectangular (PNEZD)'!E153="","",'ET - Rectangular (PNEZD)'!E153)</f>
        <v/>
      </c>
      <c r="F151" s="3" t="str">
        <f>IF('ET - Rectangular (PNEZD)'!F153="","",'ET - Rectangular (PNEZD)'!F153)</f>
        <v/>
      </c>
      <c r="G151" s="3" t="str">
        <f t="shared" si="4"/>
        <v/>
      </c>
      <c r="H151" s="2" t="str">
        <f>IF('ET - Rectangular (PNEZD)'!H153="","",'ET - Rectangular (PNEZD)'!H153)</f>
        <v/>
      </c>
    </row>
    <row r="152" spans="1:8" x14ac:dyDescent="0.25">
      <c r="A152" s="3">
        <v>148</v>
      </c>
      <c r="B152" s="3" t="str">
        <f>IF('ET - Rectangular (PNEZD)'!B154="","",'ET - Rectangular (PNEZD)'!B154)</f>
        <v/>
      </c>
      <c r="C152" s="4" t="str">
        <f>IF('ET - Rectangular (PNEZD)'!C154="","",'ET - Rectangular (PNEZD)'!C154)</f>
        <v/>
      </c>
      <c r="D152" s="4" t="str">
        <f>IF('ET - Rectangular (PNEZD)'!D154="","",'ET - Rectangular (PNEZD)'!D154)</f>
        <v/>
      </c>
      <c r="E152" s="4" t="str">
        <f>IF('ET - Rectangular (PNEZD)'!E154="","",'ET - Rectangular (PNEZD)'!E154)</f>
        <v/>
      </c>
      <c r="F152" s="3" t="str">
        <f>IF('ET - Rectangular (PNEZD)'!F154="","",'ET - Rectangular (PNEZD)'!F154)</f>
        <v/>
      </c>
      <c r="G152" s="3" t="str">
        <f t="shared" si="4"/>
        <v/>
      </c>
      <c r="H152" s="2" t="str">
        <f>IF('ET - Rectangular (PNEZD)'!H154="","",'ET - Rectangular (PNEZD)'!H154)</f>
        <v/>
      </c>
    </row>
    <row r="153" spans="1:8" x14ac:dyDescent="0.25">
      <c r="A153" s="3">
        <v>149</v>
      </c>
      <c r="B153" s="3" t="str">
        <f>IF('ET - Rectangular (PNEZD)'!B155="","",'ET - Rectangular (PNEZD)'!B155)</f>
        <v/>
      </c>
      <c r="C153" s="4" t="str">
        <f>IF('ET - Rectangular (PNEZD)'!C155="","",'ET - Rectangular (PNEZD)'!C155)</f>
        <v/>
      </c>
      <c r="D153" s="4" t="str">
        <f>IF('ET - Rectangular (PNEZD)'!D155="","",'ET - Rectangular (PNEZD)'!D155)</f>
        <v/>
      </c>
      <c r="E153" s="4" t="str">
        <f>IF('ET - Rectangular (PNEZD)'!E155="","",'ET - Rectangular (PNEZD)'!E155)</f>
        <v/>
      </c>
      <c r="F153" s="3" t="str">
        <f>IF('ET - Rectangular (PNEZD)'!F155="","",'ET - Rectangular (PNEZD)'!F155)</f>
        <v/>
      </c>
      <c r="G153" s="3" t="str">
        <f t="shared" si="4"/>
        <v/>
      </c>
      <c r="H153" s="2" t="str">
        <f>IF('ET - Rectangular (PNEZD)'!H155="","",'ET - Rectangular (PNEZD)'!H155)</f>
        <v/>
      </c>
    </row>
    <row r="154" spans="1:8" x14ac:dyDescent="0.25">
      <c r="A154" s="3">
        <v>150</v>
      </c>
      <c r="B154" s="3" t="str">
        <f>IF('ET - Rectangular (PNEZD)'!B156="","",'ET - Rectangular (PNEZD)'!B156)</f>
        <v/>
      </c>
      <c r="C154" s="4" t="str">
        <f>IF('ET - Rectangular (PNEZD)'!C156="","",'ET - Rectangular (PNEZD)'!C156)</f>
        <v/>
      </c>
      <c r="D154" s="4" t="str">
        <f>IF('ET - Rectangular (PNEZD)'!D156="","",'ET - Rectangular (PNEZD)'!D156)</f>
        <v/>
      </c>
      <c r="E154" s="4" t="str">
        <f>IF('ET - Rectangular (PNEZD)'!E156="","",'ET - Rectangular (PNEZD)'!E156)</f>
        <v/>
      </c>
      <c r="F154" s="3" t="str">
        <f>IF('ET - Rectangular (PNEZD)'!F156="","",'ET - Rectangular (PNEZD)'!F156)</f>
        <v/>
      </c>
      <c r="G154" s="3" t="str">
        <f t="shared" si="4"/>
        <v/>
      </c>
      <c r="H154" s="2" t="str">
        <f>IF('ET - Rectangular (PNEZD)'!H156="","",'ET - Rectangular (PNEZD)'!H156)</f>
        <v/>
      </c>
    </row>
    <row r="155" spans="1:8" x14ac:dyDescent="0.25">
      <c r="A155" s="3">
        <v>151</v>
      </c>
      <c r="B155" s="3" t="str">
        <f>IF('ET - Rectangular (PNEZD)'!B157="","",'ET - Rectangular (PNEZD)'!B157)</f>
        <v/>
      </c>
      <c r="C155" s="4" t="str">
        <f>IF('ET - Rectangular (PNEZD)'!C157="","",'ET - Rectangular (PNEZD)'!C157)</f>
        <v/>
      </c>
      <c r="D155" s="4" t="str">
        <f>IF('ET - Rectangular (PNEZD)'!D157="","",'ET - Rectangular (PNEZD)'!D157)</f>
        <v/>
      </c>
      <c r="E155" s="4" t="str">
        <f>IF('ET - Rectangular (PNEZD)'!E157="","",'ET - Rectangular (PNEZD)'!E157)</f>
        <v/>
      </c>
      <c r="F155" s="3" t="str">
        <f>IF('ET - Rectangular (PNEZD)'!F157="","",'ET - Rectangular (PNEZD)'!F157)</f>
        <v/>
      </c>
      <c r="G155" s="3" t="str">
        <f t="shared" si="4"/>
        <v/>
      </c>
      <c r="H155" s="2" t="str">
        <f>IF('ET - Rectangular (PNEZD)'!H157="","",'ET - Rectangular (PNEZD)'!H157)</f>
        <v/>
      </c>
    </row>
    <row r="156" spans="1:8" x14ac:dyDescent="0.25">
      <c r="A156" s="3">
        <v>152</v>
      </c>
      <c r="B156" s="3" t="str">
        <f>IF('ET - Rectangular (PNEZD)'!B158="","",'ET - Rectangular (PNEZD)'!B158)</f>
        <v/>
      </c>
      <c r="C156" s="4" t="str">
        <f>IF('ET - Rectangular (PNEZD)'!C158="","",'ET - Rectangular (PNEZD)'!C158)</f>
        <v/>
      </c>
      <c r="D156" s="4" t="str">
        <f>IF('ET - Rectangular (PNEZD)'!D158="","",'ET - Rectangular (PNEZD)'!D158)</f>
        <v/>
      </c>
      <c r="E156" s="4" t="str">
        <f>IF('ET - Rectangular (PNEZD)'!E158="","",'ET - Rectangular (PNEZD)'!E158)</f>
        <v/>
      </c>
      <c r="F156" s="3" t="str">
        <f>IF('ET - Rectangular (PNEZD)'!F158="","",'ET - Rectangular (PNEZD)'!F158)</f>
        <v/>
      </c>
      <c r="G156" s="3" t="str">
        <f t="shared" si="4"/>
        <v/>
      </c>
      <c r="H156" s="2" t="str">
        <f>IF('ET - Rectangular (PNEZD)'!H158="","",'ET - Rectangular (PNEZD)'!H158)</f>
        <v/>
      </c>
    </row>
    <row r="157" spans="1:8" x14ac:dyDescent="0.25">
      <c r="A157" s="3">
        <v>153</v>
      </c>
      <c r="B157" s="3" t="str">
        <f>IF('ET - Rectangular (PNEZD)'!B159="","",'ET - Rectangular (PNEZD)'!B159)</f>
        <v/>
      </c>
      <c r="C157" s="4" t="str">
        <f>IF('ET - Rectangular (PNEZD)'!C159="","",'ET - Rectangular (PNEZD)'!C159)</f>
        <v/>
      </c>
      <c r="D157" s="4" t="str">
        <f>IF('ET - Rectangular (PNEZD)'!D159="","",'ET - Rectangular (PNEZD)'!D159)</f>
        <v/>
      </c>
      <c r="E157" s="4" t="str">
        <f>IF('ET - Rectangular (PNEZD)'!E159="","",'ET - Rectangular (PNEZD)'!E159)</f>
        <v/>
      </c>
      <c r="F157" s="3" t="str">
        <f>IF('ET - Rectangular (PNEZD)'!F159="","",'ET - Rectangular (PNEZD)'!F159)</f>
        <v/>
      </c>
      <c r="G157" s="3" t="str">
        <f t="shared" si="4"/>
        <v/>
      </c>
      <c r="H157" s="2" t="str">
        <f>IF('ET - Rectangular (PNEZD)'!H159="","",'ET - Rectangular (PNEZD)'!H159)</f>
        <v/>
      </c>
    </row>
    <row r="158" spans="1:8" x14ac:dyDescent="0.25">
      <c r="A158" s="3">
        <v>154</v>
      </c>
      <c r="B158" s="3" t="str">
        <f>IF('ET - Rectangular (PNEZD)'!B160="","",'ET - Rectangular (PNEZD)'!B160)</f>
        <v/>
      </c>
      <c r="C158" s="4" t="str">
        <f>IF('ET - Rectangular (PNEZD)'!C160="","",'ET - Rectangular (PNEZD)'!C160)</f>
        <v/>
      </c>
      <c r="D158" s="4" t="str">
        <f>IF('ET - Rectangular (PNEZD)'!D160="","",'ET - Rectangular (PNEZD)'!D160)</f>
        <v/>
      </c>
      <c r="E158" s="4" t="str">
        <f>IF('ET - Rectangular (PNEZD)'!E160="","",'ET - Rectangular (PNEZD)'!E160)</f>
        <v/>
      </c>
      <c r="F158" s="3" t="str">
        <f>IF('ET - Rectangular (PNEZD)'!F160="","",'ET - Rectangular (PNEZD)'!F160)</f>
        <v/>
      </c>
      <c r="G158" s="3" t="str">
        <f t="shared" si="4"/>
        <v/>
      </c>
      <c r="H158" s="2" t="str">
        <f>IF('ET - Rectangular (PNEZD)'!H160="","",'ET - Rectangular (PNEZD)'!H160)</f>
        <v/>
      </c>
    </row>
    <row r="159" spans="1:8" x14ac:dyDescent="0.25">
      <c r="A159" s="3">
        <v>155</v>
      </c>
      <c r="B159" s="3" t="str">
        <f>IF('ET - Rectangular (PNEZD)'!B161="","",'ET - Rectangular (PNEZD)'!B161)</f>
        <v/>
      </c>
      <c r="C159" s="4" t="str">
        <f>IF('ET - Rectangular (PNEZD)'!C161="","",'ET - Rectangular (PNEZD)'!C161)</f>
        <v/>
      </c>
      <c r="D159" s="4" t="str">
        <f>IF('ET - Rectangular (PNEZD)'!D161="","",'ET - Rectangular (PNEZD)'!D161)</f>
        <v/>
      </c>
      <c r="E159" s="4" t="str">
        <f>IF('ET - Rectangular (PNEZD)'!E161="","",'ET - Rectangular (PNEZD)'!E161)</f>
        <v/>
      </c>
      <c r="F159" s="3" t="str">
        <f>IF('ET - Rectangular (PNEZD)'!F161="","",'ET - Rectangular (PNEZD)'!F161)</f>
        <v/>
      </c>
      <c r="G159" s="3" t="str">
        <f t="shared" si="4"/>
        <v/>
      </c>
      <c r="H159" s="2" t="str">
        <f>IF('ET - Rectangular (PNEZD)'!H161="","",'ET - Rectangular (PNEZD)'!H161)</f>
        <v/>
      </c>
    </row>
    <row r="160" spans="1:8" x14ac:dyDescent="0.25">
      <c r="A160" s="3">
        <v>156</v>
      </c>
      <c r="B160" s="3" t="str">
        <f>IF('ET - Rectangular (PNEZD)'!B162="","",'ET - Rectangular (PNEZD)'!B162)</f>
        <v/>
      </c>
      <c r="C160" s="4" t="str">
        <f>IF('ET - Rectangular (PNEZD)'!C162="","",'ET - Rectangular (PNEZD)'!C162)</f>
        <v/>
      </c>
      <c r="D160" s="4" t="str">
        <f>IF('ET - Rectangular (PNEZD)'!D162="","",'ET - Rectangular (PNEZD)'!D162)</f>
        <v/>
      </c>
      <c r="E160" s="4" t="str">
        <f>IF('ET - Rectangular (PNEZD)'!E162="","",'ET - Rectangular (PNEZD)'!E162)</f>
        <v/>
      </c>
      <c r="F160" s="3" t="str">
        <f>IF('ET - Rectangular (PNEZD)'!F162="","",'ET - Rectangular (PNEZD)'!F162)</f>
        <v/>
      </c>
      <c r="G160" s="3" t="str">
        <f t="shared" si="4"/>
        <v/>
      </c>
      <c r="H160" s="2" t="str">
        <f>IF('ET - Rectangular (PNEZD)'!H162="","",'ET - Rectangular (PNEZD)'!H162)</f>
        <v/>
      </c>
    </row>
    <row r="161" spans="1:8" x14ac:dyDescent="0.25">
      <c r="A161" s="3">
        <v>157</v>
      </c>
      <c r="B161" s="3" t="str">
        <f>IF('ET - Rectangular (PNEZD)'!B163="","",'ET - Rectangular (PNEZD)'!B163)</f>
        <v/>
      </c>
      <c r="C161" s="4" t="str">
        <f>IF('ET - Rectangular (PNEZD)'!C163="","",'ET - Rectangular (PNEZD)'!C163)</f>
        <v/>
      </c>
      <c r="D161" s="4" t="str">
        <f>IF('ET - Rectangular (PNEZD)'!D163="","",'ET - Rectangular (PNEZD)'!D163)</f>
        <v/>
      </c>
      <c r="E161" s="4" t="str">
        <f>IF('ET - Rectangular (PNEZD)'!E163="","",'ET - Rectangular (PNEZD)'!E163)</f>
        <v/>
      </c>
      <c r="F161" s="3" t="str">
        <f>IF('ET - Rectangular (PNEZD)'!F163="","",'ET - Rectangular (PNEZD)'!F163)</f>
        <v/>
      </c>
      <c r="G161" s="3" t="str">
        <f t="shared" si="4"/>
        <v/>
      </c>
      <c r="H161" s="2" t="str">
        <f>IF('ET - Rectangular (PNEZD)'!H163="","",'ET - Rectangular (PNEZD)'!H163)</f>
        <v/>
      </c>
    </row>
    <row r="162" spans="1:8" x14ac:dyDescent="0.25">
      <c r="A162" s="3">
        <v>158</v>
      </c>
      <c r="B162" s="3" t="str">
        <f>IF('ET - Rectangular (PNEZD)'!B164="","",'ET - Rectangular (PNEZD)'!B164)</f>
        <v/>
      </c>
      <c r="C162" s="4" t="str">
        <f>IF('ET - Rectangular (PNEZD)'!C164="","",'ET - Rectangular (PNEZD)'!C164)</f>
        <v/>
      </c>
      <c r="D162" s="4" t="str">
        <f>IF('ET - Rectangular (PNEZD)'!D164="","",'ET - Rectangular (PNEZD)'!D164)</f>
        <v/>
      </c>
      <c r="E162" s="4" t="str">
        <f>IF('ET - Rectangular (PNEZD)'!E164="","",'ET - Rectangular (PNEZD)'!E164)</f>
        <v/>
      </c>
      <c r="F162" s="3" t="str">
        <f>IF('ET - Rectangular (PNEZD)'!F164="","",'ET - Rectangular (PNEZD)'!F164)</f>
        <v/>
      </c>
      <c r="G162" s="3" t="str">
        <f t="shared" si="4"/>
        <v/>
      </c>
      <c r="H162" s="2" t="str">
        <f>IF('ET - Rectangular (PNEZD)'!H164="","",'ET - Rectangular (PNEZD)'!H164)</f>
        <v/>
      </c>
    </row>
    <row r="163" spans="1:8" x14ac:dyDescent="0.25">
      <c r="A163" s="3">
        <v>159</v>
      </c>
      <c r="B163" s="3" t="str">
        <f>IF('ET - Rectangular (PNEZD)'!B165="","",'ET - Rectangular (PNEZD)'!B165)</f>
        <v/>
      </c>
      <c r="C163" s="4" t="str">
        <f>IF('ET - Rectangular (PNEZD)'!C165="","",'ET - Rectangular (PNEZD)'!C165)</f>
        <v/>
      </c>
      <c r="D163" s="4" t="str">
        <f>IF('ET - Rectangular (PNEZD)'!D165="","",'ET - Rectangular (PNEZD)'!D165)</f>
        <v/>
      </c>
      <c r="E163" s="4" t="str">
        <f>IF('ET - Rectangular (PNEZD)'!E165="","",'ET - Rectangular (PNEZD)'!E165)</f>
        <v/>
      </c>
      <c r="F163" s="3" t="str">
        <f>IF('ET - Rectangular (PNEZD)'!F165="","",'ET - Rectangular (PNEZD)'!F165)</f>
        <v/>
      </c>
      <c r="G163" s="3" t="str">
        <f t="shared" si="4"/>
        <v/>
      </c>
      <c r="H163" s="2" t="str">
        <f>IF('ET - Rectangular (PNEZD)'!H165="","",'ET - Rectangular (PNEZD)'!H165)</f>
        <v/>
      </c>
    </row>
    <row r="164" spans="1:8" x14ac:dyDescent="0.25">
      <c r="A164" s="3">
        <v>160</v>
      </c>
      <c r="B164" s="3" t="str">
        <f>IF('ET - Rectangular (PNEZD)'!B166="","",'ET - Rectangular (PNEZD)'!B166)</f>
        <v/>
      </c>
      <c r="C164" s="4" t="str">
        <f>IF('ET - Rectangular (PNEZD)'!C166="","",'ET - Rectangular (PNEZD)'!C166)</f>
        <v/>
      </c>
      <c r="D164" s="4" t="str">
        <f>IF('ET - Rectangular (PNEZD)'!D166="","",'ET - Rectangular (PNEZD)'!D166)</f>
        <v/>
      </c>
      <c r="E164" s="4" t="str">
        <f>IF('ET - Rectangular (PNEZD)'!E166="","",'ET - Rectangular (PNEZD)'!E166)</f>
        <v/>
      </c>
      <c r="F164" s="3" t="str">
        <f>IF('ET - Rectangular (PNEZD)'!F166="","",'ET - Rectangular (PNEZD)'!F166)</f>
        <v/>
      </c>
      <c r="G164" s="3" t="str">
        <f t="shared" si="4"/>
        <v/>
      </c>
      <c r="H164" s="2" t="str">
        <f>IF('ET - Rectangular (PNEZD)'!H166="","",'ET - Rectangular (PNEZD)'!H166)</f>
        <v/>
      </c>
    </row>
    <row r="165" spans="1:8" x14ac:dyDescent="0.25">
      <c r="A165" s="3">
        <v>161</v>
      </c>
      <c r="B165" s="3" t="str">
        <f>IF('ET - Rectangular (PNEZD)'!B167="","",'ET - Rectangular (PNEZD)'!B167)</f>
        <v/>
      </c>
      <c r="C165" s="4" t="str">
        <f>IF('ET - Rectangular (PNEZD)'!C167="","",'ET - Rectangular (PNEZD)'!C167)</f>
        <v/>
      </c>
      <c r="D165" s="4" t="str">
        <f>IF('ET - Rectangular (PNEZD)'!D167="","",'ET - Rectangular (PNEZD)'!D167)</f>
        <v/>
      </c>
      <c r="E165" s="4" t="str">
        <f>IF('ET - Rectangular (PNEZD)'!E167="","",'ET - Rectangular (PNEZD)'!E167)</f>
        <v/>
      </c>
      <c r="F165" s="3" t="str">
        <f>IF('ET - Rectangular (PNEZD)'!F167="","",'ET - Rectangular (PNEZD)'!F167)</f>
        <v/>
      </c>
      <c r="G165" s="3" t="str">
        <f t="shared" ref="G165:G196" si="5">IF(B165="","","ET Rect.")</f>
        <v/>
      </c>
      <c r="H165" s="2" t="str">
        <f>IF('ET - Rectangular (PNEZD)'!H167="","",'ET - Rectangular (PNEZD)'!H167)</f>
        <v/>
      </c>
    </row>
    <row r="166" spans="1:8" x14ac:dyDescent="0.25">
      <c r="A166" s="3">
        <v>162</v>
      </c>
      <c r="B166" s="3" t="str">
        <f>IF('ET - Rectangular (PNEZD)'!B168="","",'ET - Rectangular (PNEZD)'!B168)</f>
        <v/>
      </c>
      <c r="C166" s="4" t="str">
        <f>IF('ET - Rectangular (PNEZD)'!C168="","",'ET - Rectangular (PNEZD)'!C168)</f>
        <v/>
      </c>
      <c r="D166" s="4" t="str">
        <f>IF('ET - Rectangular (PNEZD)'!D168="","",'ET - Rectangular (PNEZD)'!D168)</f>
        <v/>
      </c>
      <c r="E166" s="4" t="str">
        <f>IF('ET - Rectangular (PNEZD)'!E168="","",'ET - Rectangular (PNEZD)'!E168)</f>
        <v/>
      </c>
      <c r="F166" s="3" t="str">
        <f>IF('ET - Rectangular (PNEZD)'!F168="","",'ET - Rectangular (PNEZD)'!F168)</f>
        <v/>
      </c>
      <c r="G166" s="3" t="str">
        <f t="shared" si="5"/>
        <v/>
      </c>
      <c r="H166" s="2" t="str">
        <f>IF('ET - Rectangular (PNEZD)'!H168="","",'ET - Rectangular (PNEZD)'!H168)</f>
        <v/>
      </c>
    </row>
    <row r="167" spans="1:8" x14ac:dyDescent="0.25">
      <c r="A167" s="3">
        <v>163</v>
      </c>
      <c r="B167" s="3" t="str">
        <f>IF('ET - Rectangular (PNEZD)'!B169="","",'ET - Rectangular (PNEZD)'!B169)</f>
        <v/>
      </c>
      <c r="C167" s="4" t="str">
        <f>IF('ET - Rectangular (PNEZD)'!C169="","",'ET - Rectangular (PNEZD)'!C169)</f>
        <v/>
      </c>
      <c r="D167" s="4" t="str">
        <f>IF('ET - Rectangular (PNEZD)'!D169="","",'ET - Rectangular (PNEZD)'!D169)</f>
        <v/>
      </c>
      <c r="E167" s="4" t="str">
        <f>IF('ET - Rectangular (PNEZD)'!E169="","",'ET - Rectangular (PNEZD)'!E169)</f>
        <v/>
      </c>
      <c r="F167" s="3" t="str">
        <f>IF('ET - Rectangular (PNEZD)'!F169="","",'ET - Rectangular (PNEZD)'!F169)</f>
        <v/>
      </c>
      <c r="G167" s="3" t="str">
        <f t="shared" si="5"/>
        <v/>
      </c>
      <c r="H167" s="2" t="str">
        <f>IF('ET - Rectangular (PNEZD)'!H169="","",'ET - Rectangular (PNEZD)'!H169)</f>
        <v/>
      </c>
    </row>
    <row r="168" spans="1:8" x14ac:dyDescent="0.25">
      <c r="A168" s="3">
        <v>164</v>
      </c>
      <c r="B168" s="3" t="str">
        <f>IF('ET - Rectangular (PNEZD)'!B170="","",'ET - Rectangular (PNEZD)'!B170)</f>
        <v/>
      </c>
      <c r="C168" s="4" t="str">
        <f>IF('ET - Rectangular (PNEZD)'!C170="","",'ET - Rectangular (PNEZD)'!C170)</f>
        <v/>
      </c>
      <c r="D168" s="4" t="str">
        <f>IF('ET - Rectangular (PNEZD)'!D170="","",'ET - Rectangular (PNEZD)'!D170)</f>
        <v/>
      </c>
      <c r="E168" s="4" t="str">
        <f>IF('ET - Rectangular (PNEZD)'!E170="","",'ET - Rectangular (PNEZD)'!E170)</f>
        <v/>
      </c>
      <c r="F168" s="3" t="str">
        <f>IF('ET - Rectangular (PNEZD)'!F170="","",'ET - Rectangular (PNEZD)'!F170)</f>
        <v/>
      </c>
      <c r="G168" s="3" t="str">
        <f t="shared" si="5"/>
        <v/>
      </c>
      <c r="H168" s="2" t="str">
        <f>IF('ET - Rectangular (PNEZD)'!H170="","",'ET - Rectangular (PNEZD)'!H170)</f>
        <v/>
      </c>
    </row>
    <row r="169" spans="1:8" x14ac:dyDescent="0.25">
      <c r="A169" s="3">
        <v>165</v>
      </c>
      <c r="B169" s="3" t="str">
        <f>IF('ET - Rectangular (PNEZD)'!B171="","",'ET - Rectangular (PNEZD)'!B171)</f>
        <v/>
      </c>
      <c r="C169" s="4" t="str">
        <f>IF('ET - Rectangular (PNEZD)'!C171="","",'ET - Rectangular (PNEZD)'!C171)</f>
        <v/>
      </c>
      <c r="D169" s="4" t="str">
        <f>IF('ET - Rectangular (PNEZD)'!D171="","",'ET - Rectangular (PNEZD)'!D171)</f>
        <v/>
      </c>
      <c r="E169" s="4" t="str">
        <f>IF('ET - Rectangular (PNEZD)'!E171="","",'ET - Rectangular (PNEZD)'!E171)</f>
        <v/>
      </c>
      <c r="F169" s="3" t="str">
        <f>IF('ET - Rectangular (PNEZD)'!F171="","",'ET - Rectangular (PNEZD)'!F171)</f>
        <v/>
      </c>
      <c r="G169" s="3" t="str">
        <f t="shared" si="5"/>
        <v/>
      </c>
      <c r="H169" s="2" t="str">
        <f>IF('ET - Rectangular (PNEZD)'!H171="","",'ET - Rectangular (PNEZD)'!H171)</f>
        <v/>
      </c>
    </row>
    <row r="170" spans="1:8" x14ac:dyDescent="0.25">
      <c r="A170" s="3">
        <v>166</v>
      </c>
      <c r="B170" s="3" t="str">
        <f>IF('ET - Rectangular (PNEZD)'!B172="","",'ET - Rectangular (PNEZD)'!B172)</f>
        <v/>
      </c>
      <c r="C170" s="4" t="str">
        <f>IF('ET - Rectangular (PNEZD)'!C172="","",'ET - Rectangular (PNEZD)'!C172)</f>
        <v/>
      </c>
      <c r="D170" s="4" t="str">
        <f>IF('ET - Rectangular (PNEZD)'!D172="","",'ET - Rectangular (PNEZD)'!D172)</f>
        <v/>
      </c>
      <c r="E170" s="4" t="str">
        <f>IF('ET - Rectangular (PNEZD)'!E172="","",'ET - Rectangular (PNEZD)'!E172)</f>
        <v/>
      </c>
      <c r="F170" s="3" t="str">
        <f>IF('ET - Rectangular (PNEZD)'!F172="","",'ET - Rectangular (PNEZD)'!F172)</f>
        <v/>
      </c>
      <c r="G170" s="3" t="str">
        <f t="shared" si="5"/>
        <v/>
      </c>
      <c r="H170" s="2" t="str">
        <f>IF('ET - Rectangular (PNEZD)'!H172="","",'ET - Rectangular (PNEZD)'!H172)</f>
        <v/>
      </c>
    </row>
    <row r="171" spans="1:8" x14ac:dyDescent="0.25">
      <c r="A171" s="3">
        <v>167</v>
      </c>
      <c r="B171" s="3" t="str">
        <f>IF('ET - Rectangular (PNEZD)'!B173="","",'ET - Rectangular (PNEZD)'!B173)</f>
        <v/>
      </c>
      <c r="C171" s="4" t="str">
        <f>IF('ET - Rectangular (PNEZD)'!C173="","",'ET - Rectangular (PNEZD)'!C173)</f>
        <v/>
      </c>
      <c r="D171" s="4" t="str">
        <f>IF('ET - Rectangular (PNEZD)'!D173="","",'ET - Rectangular (PNEZD)'!D173)</f>
        <v/>
      </c>
      <c r="E171" s="4" t="str">
        <f>IF('ET - Rectangular (PNEZD)'!E173="","",'ET - Rectangular (PNEZD)'!E173)</f>
        <v/>
      </c>
      <c r="F171" s="3" t="str">
        <f>IF('ET - Rectangular (PNEZD)'!F173="","",'ET - Rectangular (PNEZD)'!F173)</f>
        <v/>
      </c>
      <c r="G171" s="3" t="str">
        <f t="shared" si="5"/>
        <v/>
      </c>
      <c r="H171" s="2" t="str">
        <f>IF('ET - Rectangular (PNEZD)'!H173="","",'ET - Rectangular (PNEZD)'!H173)</f>
        <v/>
      </c>
    </row>
    <row r="172" spans="1:8" x14ac:dyDescent="0.25">
      <c r="A172" s="3">
        <v>168</v>
      </c>
      <c r="B172" s="3" t="str">
        <f>IF('ET - Rectangular (PNEZD)'!B174="","",'ET - Rectangular (PNEZD)'!B174)</f>
        <v/>
      </c>
      <c r="C172" s="4" t="str">
        <f>IF('ET - Rectangular (PNEZD)'!C174="","",'ET - Rectangular (PNEZD)'!C174)</f>
        <v/>
      </c>
      <c r="D172" s="4" t="str">
        <f>IF('ET - Rectangular (PNEZD)'!D174="","",'ET - Rectangular (PNEZD)'!D174)</f>
        <v/>
      </c>
      <c r="E172" s="4" t="str">
        <f>IF('ET - Rectangular (PNEZD)'!E174="","",'ET - Rectangular (PNEZD)'!E174)</f>
        <v/>
      </c>
      <c r="F172" s="3" t="str">
        <f>IF('ET - Rectangular (PNEZD)'!F174="","",'ET - Rectangular (PNEZD)'!F174)</f>
        <v/>
      </c>
      <c r="G172" s="3" t="str">
        <f t="shared" si="5"/>
        <v/>
      </c>
      <c r="H172" s="2" t="str">
        <f>IF('ET - Rectangular (PNEZD)'!H174="","",'ET - Rectangular (PNEZD)'!H174)</f>
        <v/>
      </c>
    </row>
    <row r="173" spans="1:8" x14ac:dyDescent="0.25">
      <c r="A173" s="3">
        <v>169</v>
      </c>
      <c r="B173" s="3" t="str">
        <f>IF('ET - Rectangular (PNEZD)'!B175="","",'ET - Rectangular (PNEZD)'!B175)</f>
        <v/>
      </c>
      <c r="C173" s="4" t="str">
        <f>IF('ET - Rectangular (PNEZD)'!C175="","",'ET - Rectangular (PNEZD)'!C175)</f>
        <v/>
      </c>
      <c r="D173" s="4" t="str">
        <f>IF('ET - Rectangular (PNEZD)'!D175="","",'ET - Rectangular (PNEZD)'!D175)</f>
        <v/>
      </c>
      <c r="E173" s="4" t="str">
        <f>IF('ET - Rectangular (PNEZD)'!E175="","",'ET - Rectangular (PNEZD)'!E175)</f>
        <v/>
      </c>
      <c r="F173" s="3" t="str">
        <f>IF('ET - Rectangular (PNEZD)'!F175="","",'ET - Rectangular (PNEZD)'!F175)</f>
        <v/>
      </c>
      <c r="G173" s="3" t="str">
        <f t="shared" si="5"/>
        <v/>
      </c>
      <c r="H173" s="2" t="str">
        <f>IF('ET - Rectangular (PNEZD)'!H175="","",'ET - Rectangular (PNEZD)'!H175)</f>
        <v/>
      </c>
    </row>
    <row r="174" spans="1:8" x14ac:dyDescent="0.25">
      <c r="A174" s="3">
        <v>170</v>
      </c>
      <c r="B174" s="3" t="str">
        <f>IF('ET - Rectangular (PNEZD)'!B176="","",'ET - Rectangular (PNEZD)'!B176)</f>
        <v/>
      </c>
      <c r="C174" s="4" t="str">
        <f>IF('ET - Rectangular (PNEZD)'!C176="","",'ET - Rectangular (PNEZD)'!C176)</f>
        <v/>
      </c>
      <c r="D174" s="4" t="str">
        <f>IF('ET - Rectangular (PNEZD)'!D176="","",'ET - Rectangular (PNEZD)'!D176)</f>
        <v/>
      </c>
      <c r="E174" s="4" t="str">
        <f>IF('ET - Rectangular (PNEZD)'!E176="","",'ET - Rectangular (PNEZD)'!E176)</f>
        <v/>
      </c>
      <c r="F174" s="3" t="str">
        <f>IF('ET - Rectangular (PNEZD)'!F176="","",'ET - Rectangular (PNEZD)'!F176)</f>
        <v/>
      </c>
      <c r="G174" s="3" t="str">
        <f t="shared" si="5"/>
        <v/>
      </c>
      <c r="H174" s="2" t="str">
        <f>IF('ET - Rectangular (PNEZD)'!H176="","",'ET - Rectangular (PNEZD)'!H176)</f>
        <v/>
      </c>
    </row>
    <row r="175" spans="1:8" x14ac:dyDescent="0.25">
      <c r="A175" s="3">
        <v>171</v>
      </c>
      <c r="B175" s="3" t="str">
        <f>IF('ET - Rectangular (PNEZD)'!B177="","",'ET - Rectangular (PNEZD)'!B177)</f>
        <v/>
      </c>
      <c r="C175" s="4" t="str">
        <f>IF('ET - Rectangular (PNEZD)'!C177="","",'ET - Rectangular (PNEZD)'!C177)</f>
        <v/>
      </c>
      <c r="D175" s="4" t="str">
        <f>IF('ET - Rectangular (PNEZD)'!D177="","",'ET - Rectangular (PNEZD)'!D177)</f>
        <v/>
      </c>
      <c r="E175" s="4" t="str">
        <f>IF('ET - Rectangular (PNEZD)'!E177="","",'ET - Rectangular (PNEZD)'!E177)</f>
        <v/>
      </c>
      <c r="F175" s="3" t="str">
        <f>IF('ET - Rectangular (PNEZD)'!F177="","",'ET - Rectangular (PNEZD)'!F177)</f>
        <v/>
      </c>
      <c r="G175" s="3" t="str">
        <f t="shared" si="5"/>
        <v/>
      </c>
      <c r="H175" s="2" t="str">
        <f>IF('ET - Rectangular (PNEZD)'!H177="","",'ET - Rectangular (PNEZD)'!H177)</f>
        <v/>
      </c>
    </row>
    <row r="176" spans="1:8" x14ac:dyDescent="0.25">
      <c r="A176" s="3">
        <v>172</v>
      </c>
      <c r="B176" s="3" t="str">
        <f>IF('ET - Rectangular (PNEZD)'!B178="","",'ET - Rectangular (PNEZD)'!B178)</f>
        <v/>
      </c>
      <c r="C176" s="4" t="str">
        <f>IF('ET - Rectangular (PNEZD)'!C178="","",'ET - Rectangular (PNEZD)'!C178)</f>
        <v/>
      </c>
      <c r="D176" s="4" t="str">
        <f>IF('ET - Rectangular (PNEZD)'!D178="","",'ET - Rectangular (PNEZD)'!D178)</f>
        <v/>
      </c>
      <c r="E176" s="4" t="str">
        <f>IF('ET - Rectangular (PNEZD)'!E178="","",'ET - Rectangular (PNEZD)'!E178)</f>
        <v/>
      </c>
      <c r="F176" s="3" t="str">
        <f>IF('ET - Rectangular (PNEZD)'!F178="","",'ET - Rectangular (PNEZD)'!F178)</f>
        <v/>
      </c>
      <c r="G176" s="3" t="str">
        <f t="shared" si="5"/>
        <v/>
      </c>
      <c r="H176" s="2" t="str">
        <f>IF('ET - Rectangular (PNEZD)'!H178="","",'ET - Rectangular (PNEZD)'!H178)</f>
        <v/>
      </c>
    </row>
    <row r="177" spans="1:8" x14ac:dyDescent="0.25">
      <c r="A177" s="3">
        <v>173</v>
      </c>
      <c r="B177" s="3" t="str">
        <f>IF('ET - Rectangular (PNEZD)'!B179="","",'ET - Rectangular (PNEZD)'!B179)</f>
        <v/>
      </c>
      <c r="C177" s="4" t="str">
        <f>IF('ET - Rectangular (PNEZD)'!C179="","",'ET - Rectangular (PNEZD)'!C179)</f>
        <v/>
      </c>
      <c r="D177" s="4" t="str">
        <f>IF('ET - Rectangular (PNEZD)'!D179="","",'ET - Rectangular (PNEZD)'!D179)</f>
        <v/>
      </c>
      <c r="E177" s="4" t="str">
        <f>IF('ET - Rectangular (PNEZD)'!E179="","",'ET - Rectangular (PNEZD)'!E179)</f>
        <v/>
      </c>
      <c r="F177" s="3" t="str">
        <f>IF('ET - Rectangular (PNEZD)'!F179="","",'ET - Rectangular (PNEZD)'!F179)</f>
        <v/>
      </c>
      <c r="G177" s="3" t="str">
        <f t="shared" si="5"/>
        <v/>
      </c>
      <c r="H177" s="2" t="str">
        <f>IF('ET - Rectangular (PNEZD)'!H179="","",'ET - Rectangular (PNEZD)'!H179)</f>
        <v/>
      </c>
    </row>
    <row r="178" spans="1:8" x14ac:dyDescent="0.25">
      <c r="A178" s="3">
        <v>174</v>
      </c>
      <c r="B178" s="3" t="str">
        <f>IF('ET - Rectangular (PNEZD)'!B180="","",'ET - Rectangular (PNEZD)'!B180)</f>
        <v/>
      </c>
      <c r="C178" s="4" t="str">
        <f>IF('ET - Rectangular (PNEZD)'!C180="","",'ET - Rectangular (PNEZD)'!C180)</f>
        <v/>
      </c>
      <c r="D178" s="4" t="str">
        <f>IF('ET - Rectangular (PNEZD)'!D180="","",'ET - Rectangular (PNEZD)'!D180)</f>
        <v/>
      </c>
      <c r="E178" s="4" t="str">
        <f>IF('ET - Rectangular (PNEZD)'!E180="","",'ET - Rectangular (PNEZD)'!E180)</f>
        <v/>
      </c>
      <c r="F178" s="3" t="str">
        <f>IF('ET - Rectangular (PNEZD)'!F180="","",'ET - Rectangular (PNEZD)'!F180)</f>
        <v/>
      </c>
      <c r="G178" s="3" t="str">
        <f t="shared" si="5"/>
        <v/>
      </c>
      <c r="H178" s="2" t="str">
        <f>IF('ET - Rectangular (PNEZD)'!H180="","",'ET - Rectangular (PNEZD)'!H180)</f>
        <v/>
      </c>
    </row>
    <row r="179" spans="1:8" x14ac:dyDescent="0.25">
      <c r="A179" s="3">
        <v>175</v>
      </c>
      <c r="B179" s="3" t="str">
        <f>IF('ET - Rectangular (PNEZD)'!B181="","",'ET - Rectangular (PNEZD)'!B181)</f>
        <v/>
      </c>
      <c r="C179" s="4" t="str">
        <f>IF('ET - Rectangular (PNEZD)'!C181="","",'ET - Rectangular (PNEZD)'!C181)</f>
        <v/>
      </c>
      <c r="D179" s="4" t="str">
        <f>IF('ET - Rectangular (PNEZD)'!D181="","",'ET - Rectangular (PNEZD)'!D181)</f>
        <v/>
      </c>
      <c r="E179" s="4" t="str">
        <f>IF('ET - Rectangular (PNEZD)'!E181="","",'ET - Rectangular (PNEZD)'!E181)</f>
        <v/>
      </c>
      <c r="F179" s="3" t="str">
        <f>IF('ET - Rectangular (PNEZD)'!F181="","",'ET - Rectangular (PNEZD)'!F181)</f>
        <v/>
      </c>
      <c r="G179" s="3" t="str">
        <f t="shared" si="5"/>
        <v/>
      </c>
      <c r="H179" s="2" t="str">
        <f>IF('ET - Rectangular (PNEZD)'!H181="","",'ET - Rectangular (PNEZD)'!H181)</f>
        <v/>
      </c>
    </row>
    <row r="180" spans="1:8" x14ac:dyDescent="0.25">
      <c r="A180" s="3">
        <v>176</v>
      </c>
      <c r="B180" s="3" t="str">
        <f>IF('ET - Rectangular (PNEZD)'!B182="","",'ET - Rectangular (PNEZD)'!B182)</f>
        <v/>
      </c>
      <c r="C180" s="4" t="str">
        <f>IF('ET - Rectangular (PNEZD)'!C182="","",'ET - Rectangular (PNEZD)'!C182)</f>
        <v/>
      </c>
      <c r="D180" s="4" t="str">
        <f>IF('ET - Rectangular (PNEZD)'!D182="","",'ET - Rectangular (PNEZD)'!D182)</f>
        <v/>
      </c>
      <c r="E180" s="4" t="str">
        <f>IF('ET - Rectangular (PNEZD)'!E182="","",'ET - Rectangular (PNEZD)'!E182)</f>
        <v/>
      </c>
      <c r="F180" s="3" t="str">
        <f>IF('ET - Rectangular (PNEZD)'!F182="","",'ET - Rectangular (PNEZD)'!F182)</f>
        <v/>
      </c>
      <c r="G180" s="3" t="str">
        <f t="shared" si="5"/>
        <v/>
      </c>
      <c r="H180" s="2" t="str">
        <f>IF('ET - Rectangular (PNEZD)'!H182="","",'ET - Rectangular (PNEZD)'!H182)</f>
        <v/>
      </c>
    </row>
    <row r="181" spans="1:8" x14ac:dyDescent="0.25">
      <c r="A181" s="3">
        <v>177</v>
      </c>
      <c r="B181" s="3" t="str">
        <f>IF('ET - Rectangular (PNEZD)'!B183="","",'ET - Rectangular (PNEZD)'!B183)</f>
        <v/>
      </c>
      <c r="C181" s="4" t="str">
        <f>IF('ET - Rectangular (PNEZD)'!C183="","",'ET - Rectangular (PNEZD)'!C183)</f>
        <v/>
      </c>
      <c r="D181" s="4" t="str">
        <f>IF('ET - Rectangular (PNEZD)'!D183="","",'ET - Rectangular (PNEZD)'!D183)</f>
        <v/>
      </c>
      <c r="E181" s="4" t="str">
        <f>IF('ET - Rectangular (PNEZD)'!E183="","",'ET - Rectangular (PNEZD)'!E183)</f>
        <v/>
      </c>
      <c r="F181" s="3" t="str">
        <f>IF('ET - Rectangular (PNEZD)'!F183="","",'ET - Rectangular (PNEZD)'!F183)</f>
        <v/>
      </c>
      <c r="G181" s="3" t="str">
        <f t="shared" si="5"/>
        <v/>
      </c>
      <c r="H181" s="2" t="str">
        <f>IF('ET - Rectangular (PNEZD)'!H183="","",'ET - Rectangular (PNEZD)'!H183)</f>
        <v/>
      </c>
    </row>
    <row r="182" spans="1:8" x14ac:dyDescent="0.25">
      <c r="A182" s="3">
        <v>178</v>
      </c>
      <c r="B182" s="3" t="str">
        <f>IF('ET - Rectangular (PNEZD)'!B184="","",'ET - Rectangular (PNEZD)'!B184)</f>
        <v/>
      </c>
      <c r="C182" s="4" t="str">
        <f>IF('ET - Rectangular (PNEZD)'!C184="","",'ET - Rectangular (PNEZD)'!C184)</f>
        <v/>
      </c>
      <c r="D182" s="4" t="str">
        <f>IF('ET - Rectangular (PNEZD)'!D184="","",'ET - Rectangular (PNEZD)'!D184)</f>
        <v/>
      </c>
      <c r="E182" s="4" t="str">
        <f>IF('ET - Rectangular (PNEZD)'!E184="","",'ET - Rectangular (PNEZD)'!E184)</f>
        <v/>
      </c>
      <c r="F182" s="3" t="str">
        <f>IF('ET - Rectangular (PNEZD)'!F184="","",'ET - Rectangular (PNEZD)'!F184)</f>
        <v/>
      </c>
      <c r="G182" s="3" t="str">
        <f t="shared" si="5"/>
        <v/>
      </c>
      <c r="H182" s="2" t="str">
        <f>IF('ET - Rectangular (PNEZD)'!H184="","",'ET - Rectangular (PNEZD)'!H184)</f>
        <v/>
      </c>
    </row>
    <row r="183" spans="1:8" x14ac:dyDescent="0.25">
      <c r="A183" s="3">
        <v>179</v>
      </c>
      <c r="B183" s="3" t="str">
        <f>IF('ET - Rectangular (PNEZD)'!B185="","",'ET - Rectangular (PNEZD)'!B185)</f>
        <v/>
      </c>
      <c r="C183" s="4" t="str">
        <f>IF('ET - Rectangular (PNEZD)'!C185="","",'ET - Rectangular (PNEZD)'!C185)</f>
        <v/>
      </c>
      <c r="D183" s="4" t="str">
        <f>IF('ET - Rectangular (PNEZD)'!D185="","",'ET - Rectangular (PNEZD)'!D185)</f>
        <v/>
      </c>
      <c r="E183" s="4" t="str">
        <f>IF('ET - Rectangular (PNEZD)'!E185="","",'ET - Rectangular (PNEZD)'!E185)</f>
        <v/>
      </c>
      <c r="F183" s="3" t="str">
        <f>IF('ET - Rectangular (PNEZD)'!F185="","",'ET - Rectangular (PNEZD)'!F185)</f>
        <v/>
      </c>
      <c r="G183" s="3" t="str">
        <f t="shared" si="5"/>
        <v/>
      </c>
      <c r="H183" s="2" t="str">
        <f>IF('ET - Rectangular (PNEZD)'!H185="","",'ET - Rectangular (PNEZD)'!H185)</f>
        <v/>
      </c>
    </row>
    <row r="184" spans="1:8" x14ac:dyDescent="0.25">
      <c r="A184" s="3">
        <v>180</v>
      </c>
      <c r="B184" s="3" t="str">
        <f>IF('ET - Rectangular (PNEZD)'!B186="","",'ET - Rectangular (PNEZD)'!B186)</f>
        <v/>
      </c>
      <c r="C184" s="4" t="str">
        <f>IF('ET - Rectangular (PNEZD)'!C186="","",'ET - Rectangular (PNEZD)'!C186)</f>
        <v/>
      </c>
      <c r="D184" s="4" t="str">
        <f>IF('ET - Rectangular (PNEZD)'!D186="","",'ET - Rectangular (PNEZD)'!D186)</f>
        <v/>
      </c>
      <c r="E184" s="4" t="str">
        <f>IF('ET - Rectangular (PNEZD)'!E186="","",'ET - Rectangular (PNEZD)'!E186)</f>
        <v/>
      </c>
      <c r="F184" s="3" t="str">
        <f>IF('ET - Rectangular (PNEZD)'!F186="","",'ET - Rectangular (PNEZD)'!F186)</f>
        <v/>
      </c>
      <c r="G184" s="3" t="str">
        <f t="shared" si="5"/>
        <v/>
      </c>
      <c r="H184" s="2" t="str">
        <f>IF('ET - Rectangular (PNEZD)'!H186="","",'ET - Rectangular (PNEZD)'!H186)</f>
        <v/>
      </c>
    </row>
    <row r="185" spans="1:8" x14ac:dyDescent="0.25">
      <c r="A185" s="3">
        <v>181</v>
      </c>
      <c r="B185" s="3" t="str">
        <f>IF('ET - Rectangular (PNEZD)'!B187="","",'ET - Rectangular (PNEZD)'!B187)</f>
        <v/>
      </c>
      <c r="C185" s="4" t="str">
        <f>IF('ET - Rectangular (PNEZD)'!C187="","",'ET - Rectangular (PNEZD)'!C187)</f>
        <v/>
      </c>
      <c r="D185" s="4" t="str">
        <f>IF('ET - Rectangular (PNEZD)'!D187="","",'ET - Rectangular (PNEZD)'!D187)</f>
        <v/>
      </c>
      <c r="E185" s="4" t="str">
        <f>IF('ET - Rectangular (PNEZD)'!E187="","",'ET - Rectangular (PNEZD)'!E187)</f>
        <v/>
      </c>
      <c r="F185" s="3" t="str">
        <f>IF('ET - Rectangular (PNEZD)'!F187="","",'ET - Rectangular (PNEZD)'!F187)</f>
        <v/>
      </c>
      <c r="G185" s="3" t="str">
        <f t="shared" si="5"/>
        <v/>
      </c>
      <c r="H185" s="2" t="str">
        <f>IF('ET - Rectangular (PNEZD)'!H187="","",'ET - Rectangular (PNEZD)'!H187)</f>
        <v/>
      </c>
    </row>
    <row r="186" spans="1:8" x14ac:dyDescent="0.25">
      <c r="A186" s="3">
        <v>182</v>
      </c>
      <c r="B186" s="3" t="str">
        <f>IF('ET - Rectangular (PNEZD)'!B188="","",'ET - Rectangular (PNEZD)'!B188)</f>
        <v/>
      </c>
      <c r="C186" s="4" t="str">
        <f>IF('ET - Rectangular (PNEZD)'!C188="","",'ET - Rectangular (PNEZD)'!C188)</f>
        <v/>
      </c>
      <c r="D186" s="4" t="str">
        <f>IF('ET - Rectangular (PNEZD)'!D188="","",'ET - Rectangular (PNEZD)'!D188)</f>
        <v/>
      </c>
      <c r="E186" s="4" t="str">
        <f>IF('ET - Rectangular (PNEZD)'!E188="","",'ET - Rectangular (PNEZD)'!E188)</f>
        <v/>
      </c>
      <c r="F186" s="3" t="str">
        <f>IF('ET - Rectangular (PNEZD)'!F188="","",'ET - Rectangular (PNEZD)'!F188)</f>
        <v/>
      </c>
      <c r="G186" s="3" t="str">
        <f t="shared" si="5"/>
        <v/>
      </c>
      <c r="H186" s="2" t="str">
        <f>IF('ET - Rectangular (PNEZD)'!H188="","",'ET - Rectangular (PNEZD)'!H188)</f>
        <v/>
      </c>
    </row>
    <row r="187" spans="1:8" x14ac:dyDescent="0.25">
      <c r="A187" s="3">
        <v>183</v>
      </c>
      <c r="B187" s="3" t="str">
        <f>IF('ET - Rectangular (PNEZD)'!B189="","",'ET - Rectangular (PNEZD)'!B189)</f>
        <v/>
      </c>
      <c r="C187" s="4" t="str">
        <f>IF('ET - Rectangular (PNEZD)'!C189="","",'ET - Rectangular (PNEZD)'!C189)</f>
        <v/>
      </c>
      <c r="D187" s="4" t="str">
        <f>IF('ET - Rectangular (PNEZD)'!D189="","",'ET - Rectangular (PNEZD)'!D189)</f>
        <v/>
      </c>
      <c r="E187" s="4" t="str">
        <f>IF('ET - Rectangular (PNEZD)'!E189="","",'ET - Rectangular (PNEZD)'!E189)</f>
        <v/>
      </c>
      <c r="F187" s="3" t="str">
        <f>IF('ET - Rectangular (PNEZD)'!F189="","",'ET - Rectangular (PNEZD)'!F189)</f>
        <v/>
      </c>
      <c r="G187" s="3" t="str">
        <f t="shared" si="5"/>
        <v/>
      </c>
      <c r="H187" s="2" t="str">
        <f>IF('ET - Rectangular (PNEZD)'!H189="","",'ET - Rectangular (PNEZD)'!H189)</f>
        <v/>
      </c>
    </row>
    <row r="188" spans="1:8" x14ac:dyDescent="0.25">
      <c r="A188" s="3">
        <v>184</v>
      </c>
      <c r="B188" s="3" t="str">
        <f>IF('ET - Rectangular (PNEZD)'!B190="","",'ET - Rectangular (PNEZD)'!B190)</f>
        <v/>
      </c>
      <c r="C188" s="4" t="str">
        <f>IF('ET - Rectangular (PNEZD)'!C190="","",'ET - Rectangular (PNEZD)'!C190)</f>
        <v/>
      </c>
      <c r="D188" s="4" t="str">
        <f>IF('ET - Rectangular (PNEZD)'!D190="","",'ET - Rectangular (PNEZD)'!D190)</f>
        <v/>
      </c>
      <c r="E188" s="4" t="str">
        <f>IF('ET - Rectangular (PNEZD)'!E190="","",'ET - Rectangular (PNEZD)'!E190)</f>
        <v/>
      </c>
      <c r="F188" s="3" t="str">
        <f>IF('ET - Rectangular (PNEZD)'!F190="","",'ET - Rectangular (PNEZD)'!F190)</f>
        <v/>
      </c>
      <c r="G188" s="3" t="str">
        <f t="shared" si="5"/>
        <v/>
      </c>
      <c r="H188" s="2" t="str">
        <f>IF('ET - Rectangular (PNEZD)'!H190="","",'ET - Rectangular (PNEZD)'!H190)</f>
        <v/>
      </c>
    </row>
    <row r="189" spans="1:8" x14ac:dyDescent="0.25">
      <c r="A189" s="3">
        <v>185</v>
      </c>
      <c r="B189" s="3" t="str">
        <f>IF('ET - Rectangular (PNEZD)'!B191="","",'ET - Rectangular (PNEZD)'!B191)</f>
        <v/>
      </c>
      <c r="C189" s="4" t="str">
        <f>IF('ET - Rectangular (PNEZD)'!C191="","",'ET - Rectangular (PNEZD)'!C191)</f>
        <v/>
      </c>
      <c r="D189" s="4" t="str">
        <f>IF('ET - Rectangular (PNEZD)'!D191="","",'ET - Rectangular (PNEZD)'!D191)</f>
        <v/>
      </c>
      <c r="E189" s="4" t="str">
        <f>IF('ET - Rectangular (PNEZD)'!E191="","",'ET - Rectangular (PNEZD)'!E191)</f>
        <v/>
      </c>
      <c r="F189" s="3" t="str">
        <f>IF('ET - Rectangular (PNEZD)'!F191="","",'ET - Rectangular (PNEZD)'!F191)</f>
        <v/>
      </c>
      <c r="G189" s="3" t="str">
        <f t="shared" si="5"/>
        <v/>
      </c>
      <c r="H189" s="2" t="str">
        <f>IF('ET - Rectangular (PNEZD)'!H191="","",'ET - Rectangular (PNEZD)'!H191)</f>
        <v/>
      </c>
    </row>
    <row r="190" spans="1:8" x14ac:dyDescent="0.25">
      <c r="A190" s="3">
        <v>186</v>
      </c>
      <c r="B190" s="3" t="str">
        <f>IF('ET - Rectangular (PNEZD)'!B192="","",'ET - Rectangular (PNEZD)'!B192)</f>
        <v/>
      </c>
      <c r="C190" s="4" t="str">
        <f>IF('ET - Rectangular (PNEZD)'!C192="","",'ET - Rectangular (PNEZD)'!C192)</f>
        <v/>
      </c>
      <c r="D190" s="4" t="str">
        <f>IF('ET - Rectangular (PNEZD)'!D192="","",'ET - Rectangular (PNEZD)'!D192)</f>
        <v/>
      </c>
      <c r="E190" s="4" t="str">
        <f>IF('ET - Rectangular (PNEZD)'!E192="","",'ET - Rectangular (PNEZD)'!E192)</f>
        <v/>
      </c>
      <c r="F190" s="3" t="str">
        <f>IF('ET - Rectangular (PNEZD)'!F192="","",'ET - Rectangular (PNEZD)'!F192)</f>
        <v/>
      </c>
      <c r="G190" s="3" t="str">
        <f t="shared" si="5"/>
        <v/>
      </c>
      <c r="H190" s="2" t="str">
        <f>IF('ET - Rectangular (PNEZD)'!H192="","",'ET - Rectangular (PNEZD)'!H192)</f>
        <v/>
      </c>
    </row>
    <row r="191" spans="1:8" x14ac:dyDescent="0.25">
      <c r="A191" s="3">
        <v>187</v>
      </c>
      <c r="B191" s="3" t="str">
        <f>IF('ET - Rectangular (PNEZD)'!B193="","",'ET - Rectangular (PNEZD)'!B193)</f>
        <v/>
      </c>
      <c r="C191" s="4" t="str">
        <f>IF('ET - Rectangular (PNEZD)'!C193="","",'ET - Rectangular (PNEZD)'!C193)</f>
        <v/>
      </c>
      <c r="D191" s="4" t="str">
        <f>IF('ET - Rectangular (PNEZD)'!D193="","",'ET - Rectangular (PNEZD)'!D193)</f>
        <v/>
      </c>
      <c r="E191" s="4" t="str">
        <f>IF('ET - Rectangular (PNEZD)'!E193="","",'ET - Rectangular (PNEZD)'!E193)</f>
        <v/>
      </c>
      <c r="F191" s="3" t="str">
        <f>IF('ET - Rectangular (PNEZD)'!F193="","",'ET - Rectangular (PNEZD)'!F193)</f>
        <v/>
      </c>
      <c r="G191" s="3" t="str">
        <f t="shared" si="5"/>
        <v/>
      </c>
      <c r="H191" s="2" t="str">
        <f>IF('ET - Rectangular (PNEZD)'!H193="","",'ET - Rectangular (PNEZD)'!H193)</f>
        <v/>
      </c>
    </row>
    <row r="192" spans="1:8" x14ac:dyDescent="0.25">
      <c r="A192" s="3">
        <v>188</v>
      </c>
      <c r="B192" s="3" t="str">
        <f>IF('ET - Rectangular (PNEZD)'!B194="","",'ET - Rectangular (PNEZD)'!B194)</f>
        <v/>
      </c>
      <c r="C192" s="4" t="str">
        <f>IF('ET - Rectangular (PNEZD)'!C194="","",'ET - Rectangular (PNEZD)'!C194)</f>
        <v/>
      </c>
      <c r="D192" s="4" t="str">
        <f>IF('ET - Rectangular (PNEZD)'!D194="","",'ET - Rectangular (PNEZD)'!D194)</f>
        <v/>
      </c>
      <c r="E192" s="4" t="str">
        <f>IF('ET - Rectangular (PNEZD)'!E194="","",'ET - Rectangular (PNEZD)'!E194)</f>
        <v/>
      </c>
      <c r="F192" s="3" t="str">
        <f>IF('ET - Rectangular (PNEZD)'!F194="","",'ET - Rectangular (PNEZD)'!F194)</f>
        <v/>
      </c>
      <c r="G192" s="3" t="str">
        <f t="shared" si="5"/>
        <v/>
      </c>
      <c r="H192" s="2" t="str">
        <f>IF('ET - Rectangular (PNEZD)'!H194="","",'ET - Rectangular (PNEZD)'!H194)</f>
        <v/>
      </c>
    </row>
    <row r="193" spans="1:8" x14ac:dyDescent="0.25">
      <c r="A193" s="3">
        <v>189</v>
      </c>
      <c r="B193" s="3" t="str">
        <f>IF('ET - Rectangular (PNEZD)'!B195="","",'ET - Rectangular (PNEZD)'!B195)</f>
        <v/>
      </c>
      <c r="C193" s="4" t="str">
        <f>IF('ET - Rectangular (PNEZD)'!C195="","",'ET - Rectangular (PNEZD)'!C195)</f>
        <v/>
      </c>
      <c r="D193" s="4" t="str">
        <f>IF('ET - Rectangular (PNEZD)'!D195="","",'ET - Rectangular (PNEZD)'!D195)</f>
        <v/>
      </c>
      <c r="E193" s="4" t="str">
        <f>IF('ET - Rectangular (PNEZD)'!E195="","",'ET - Rectangular (PNEZD)'!E195)</f>
        <v/>
      </c>
      <c r="F193" s="3" t="str">
        <f>IF('ET - Rectangular (PNEZD)'!F195="","",'ET - Rectangular (PNEZD)'!F195)</f>
        <v/>
      </c>
      <c r="G193" s="3" t="str">
        <f t="shared" si="5"/>
        <v/>
      </c>
      <c r="H193" s="2" t="str">
        <f>IF('ET - Rectangular (PNEZD)'!H195="","",'ET - Rectangular (PNEZD)'!H195)</f>
        <v/>
      </c>
    </row>
    <row r="194" spans="1:8" x14ac:dyDescent="0.25">
      <c r="A194" s="3">
        <v>190</v>
      </c>
      <c r="B194" s="3" t="str">
        <f>IF('ET - Rectangular (PNEZD)'!B196="","",'ET - Rectangular (PNEZD)'!B196)</f>
        <v/>
      </c>
      <c r="C194" s="4" t="str">
        <f>IF('ET - Rectangular (PNEZD)'!C196="","",'ET - Rectangular (PNEZD)'!C196)</f>
        <v/>
      </c>
      <c r="D194" s="4" t="str">
        <f>IF('ET - Rectangular (PNEZD)'!D196="","",'ET - Rectangular (PNEZD)'!D196)</f>
        <v/>
      </c>
      <c r="E194" s="4" t="str">
        <f>IF('ET - Rectangular (PNEZD)'!E196="","",'ET - Rectangular (PNEZD)'!E196)</f>
        <v/>
      </c>
      <c r="F194" s="3" t="str">
        <f>IF('ET - Rectangular (PNEZD)'!F196="","",'ET - Rectangular (PNEZD)'!F196)</f>
        <v/>
      </c>
      <c r="G194" s="3" t="str">
        <f t="shared" si="5"/>
        <v/>
      </c>
      <c r="H194" s="2" t="str">
        <f>IF('ET - Rectangular (PNEZD)'!H196="","",'ET - Rectangular (PNEZD)'!H196)</f>
        <v/>
      </c>
    </row>
    <row r="195" spans="1:8" x14ac:dyDescent="0.25">
      <c r="A195" s="3">
        <v>191</v>
      </c>
      <c r="B195" s="3" t="str">
        <f>IF('ET - Rectangular (PNEZD)'!B197="","",'ET - Rectangular (PNEZD)'!B197)</f>
        <v/>
      </c>
      <c r="C195" s="4" t="str">
        <f>IF('ET - Rectangular (PNEZD)'!C197="","",'ET - Rectangular (PNEZD)'!C197)</f>
        <v/>
      </c>
      <c r="D195" s="4" t="str">
        <f>IF('ET - Rectangular (PNEZD)'!D197="","",'ET - Rectangular (PNEZD)'!D197)</f>
        <v/>
      </c>
      <c r="E195" s="4" t="str">
        <f>IF('ET - Rectangular (PNEZD)'!E197="","",'ET - Rectangular (PNEZD)'!E197)</f>
        <v/>
      </c>
      <c r="F195" s="3" t="str">
        <f>IF('ET - Rectangular (PNEZD)'!F197="","",'ET - Rectangular (PNEZD)'!F197)</f>
        <v/>
      </c>
      <c r="G195" s="3" t="str">
        <f t="shared" si="5"/>
        <v/>
      </c>
      <c r="H195" s="2" t="str">
        <f>IF('ET - Rectangular (PNEZD)'!H197="","",'ET - Rectangular (PNEZD)'!H197)</f>
        <v/>
      </c>
    </row>
    <row r="196" spans="1:8" x14ac:dyDescent="0.25">
      <c r="A196" s="3">
        <v>192</v>
      </c>
      <c r="B196" s="3" t="str">
        <f>IF('ET - Rectangular (PNEZD)'!B198="","",'ET - Rectangular (PNEZD)'!B198)</f>
        <v/>
      </c>
      <c r="C196" s="4" t="str">
        <f>IF('ET - Rectangular (PNEZD)'!C198="","",'ET - Rectangular (PNEZD)'!C198)</f>
        <v/>
      </c>
      <c r="D196" s="4" t="str">
        <f>IF('ET - Rectangular (PNEZD)'!D198="","",'ET - Rectangular (PNEZD)'!D198)</f>
        <v/>
      </c>
      <c r="E196" s="4" t="str">
        <f>IF('ET - Rectangular (PNEZD)'!E198="","",'ET - Rectangular (PNEZD)'!E198)</f>
        <v/>
      </c>
      <c r="F196" s="3" t="str">
        <f>IF('ET - Rectangular (PNEZD)'!F198="","",'ET - Rectangular (PNEZD)'!F198)</f>
        <v/>
      </c>
      <c r="G196" s="3" t="str">
        <f t="shared" si="5"/>
        <v/>
      </c>
      <c r="H196" s="2" t="str">
        <f>IF('ET - Rectangular (PNEZD)'!H198="","",'ET - Rectangular (PNEZD)'!H198)</f>
        <v/>
      </c>
    </row>
    <row r="197" spans="1:8" x14ac:dyDescent="0.25">
      <c r="A197" s="3">
        <v>193</v>
      </c>
      <c r="B197" s="3" t="str">
        <f>IF('ET - Rectangular (PNEZD)'!B199="","",'ET - Rectangular (PNEZD)'!B199)</f>
        <v/>
      </c>
      <c r="C197" s="4" t="str">
        <f>IF('ET - Rectangular (PNEZD)'!C199="","",'ET - Rectangular (PNEZD)'!C199)</f>
        <v/>
      </c>
      <c r="D197" s="4" t="str">
        <f>IF('ET - Rectangular (PNEZD)'!D199="","",'ET - Rectangular (PNEZD)'!D199)</f>
        <v/>
      </c>
      <c r="E197" s="4" t="str">
        <f>IF('ET - Rectangular (PNEZD)'!E199="","",'ET - Rectangular (PNEZD)'!E199)</f>
        <v/>
      </c>
      <c r="F197" s="3" t="str">
        <f>IF('ET - Rectangular (PNEZD)'!F199="","",'ET - Rectangular (PNEZD)'!F199)</f>
        <v/>
      </c>
      <c r="G197" s="3" t="str">
        <f t="shared" ref="G197:G204" si="6">IF(B197="","","ET Rect.")</f>
        <v/>
      </c>
      <c r="H197" s="2" t="str">
        <f>IF('ET - Rectangular (PNEZD)'!H199="","",'ET - Rectangular (PNEZD)'!H199)</f>
        <v/>
      </c>
    </row>
    <row r="198" spans="1:8" x14ac:dyDescent="0.25">
      <c r="A198" s="3">
        <v>194</v>
      </c>
      <c r="B198" s="3" t="str">
        <f>IF('ET - Rectangular (PNEZD)'!B200="","",'ET - Rectangular (PNEZD)'!B200)</f>
        <v/>
      </c>
      <c r="C198" s="4" t="str">
        <f>IF('ET - Rectangular (PNEZD)'!C200="","",'ET - Rectangular (PNEZD)'!C200)</f>
        <v/>
      </c>
      <c r="D198" s="4" t="str">
        <f>IF('ET - Rectangular (PNEZD)'!D200="","",'ET - Rectangular (PNEZD)'!D200)</f>
        <v/>
      </c>
      <c r="E198" s="4" t="str">
        <f>IF('ET - Rectangular (PNEZD)'!E200="","",'ET - Rectangular (PNEZD)'!E200)</f>
        <v/>
      </c>
      <c r="F198" s="3" t="str">
        <f>IF('ET - Rectangular (PNEZD)'!F200="","",'ET - Rectangular (PNEZD)'!F200)</f>
        <v/>
      </c>
      <c r="G198" s="3" t="str">
        <f t="shared" si="6"/>
        <v/>
      </c>
      <c r="H198" s="2" t="str">
        <f>IF('ET - Rectangular (PNEZD)'!H200="","",'ET - Rectangular (PNEZD)'!H200)</f>
        <v/>
      </c>
    </row>
    <row r="199" spans="1:8" x14ac:dyDescent="0.25">
      <c r="A199" s="3">
        <v>195</v>
      </c>
      <c r="B199" s="3" t="str">
        <f>IF('ET - Rectangular (PNEZD)'!B201="","",'ET - Rectangular (PNEZD)'!B201)</f>
        <v/>
      </c>
      <c r="C199" s="4" t="str">
        <f>IF('ET - Rectangular (PNEZD)'!C201="","",'ET - Rectangular (PNEZD)'!C201)</f>
        <v/>
      </c>
      <c r="D199" s="4" t="str">
        <f>IF('ET - Rectangular (PNEZD)'!D201="","",'ET - Rectangular (PNEZD)'!D201)</f>
        <v/>
      </c>
      <c r="E199" s="4" t="str">
        <f>IF('ET - Rectangular (PNEZD)'!E201="","",'ET - Rectangular (PNEZD)'!E201)</f>
        <v/>
      </c>
      <c r="F199" s="3" t="str">
        <f>IF('ET - Rectangular (PNEZD)'!F201="","",'ET - Rectangular (PNEZD)'!F201)</f>
        <v/>
      </c>
      <c r="G199" s="3" t="str">
        <f t="shared" si="6"/>
        <v/>
      </c>
      <c r="H199" s="2" t="str">
        <f>IF('ET - Rectangular (PNEZD)'!H201="","",'ET - Rectangular (PNEZD)'!H201)</f>
        <v/>
      </c>
    </row>
    <row r="200" spans="1:8" x14ac:dyDescent="0.25">
      <c r="A200" s="3">
        <v>196</v>
      </c>
      <c r="B200" s="3" t="str">
        <f>IF('ET - Rectangular (PNEZD)'!B202="","",'ET - Rectangular (PNEZD)'!B202)</f>
        <v/>
      </c>
      <c r="C200" s="4" t="str">
        <f>IF('ET - Rectangular (PNEZD)'!C202="","",'ET - Rectangular (PNEZD)'!C202)</f>
        <v/>
      </c>
      <c r="D200" s="4" t="str">
        <f>IF('ET - Rectangular (PNEZD)'!D202="","",'ET - Rectangular (PNEZD)'!D202)</f>
        <v/>
      </c>
      <c r="E200" s="4" t="str">
        <f>IF('ET - Rectangular (PNEZD)'!E202="","",'ET - Rectangular (PNEZD)'!E202)</f>
        <v/>
      </c>
      <c r="F200" s="3" t="str">
        <f>IF('ET - Rectangular (PNEZD)'!F202="","",'ET - Rectangular (PNEZD)'!F202)</f>
        <v/>
      </c>
      <c r="G200" s="3" t="str">
        <f t="shared" si="6"/>
        <v/>
      </c>
      <c r="H200" s="2" t="str">
        <f>IF('ET - Rectangular (PNEZD)'!H202="","",'ET - Rectangular (PNEZD)'!H202)</f>
        <v/>
      </c>
    </row>
    <row r="201" spans="1:8" x14ac:dyDescent="0.25">
      <c r="A201" s="3">
        <v>197</v>
      </c>
      <c r="B201" s="3" t="str">
        <f>IF('ET - Rectangular (PNEZD)'!B203="","",'ET - Rectangular (PNEZD)'!B203)</f>
        <v/>
      </c>
      <c r="C201" s="4" t="str">
        <f>IF('ET - Rectangular (PNEZD)'!C203="","",'ET - Rectangular (PNEZD)'!C203)</f>
        <v/>
      </c>
      <c r="D201" s="4" t="str">
        <f>IF('ET - Rectangular (PNEZD)'!D203="","",'ET - Rectangular (PNEZD)'!D203)</f>
        <v/>
      </c>
      <c r="E201" s="4" t="str">
        <f>IF('ET - Rectangular (PNEZD)'!E203="","",'ET - Rectangular (PNEZD)'!E203)</f>
        <v/>
      </c>
      <c r="F201" s="3" t="str">
        <f>IF('ET - Rectangular (PNEZD)'!F203="","",'ET - Rectangular (PNEZD)'!F203)</f>
        <v/>
      </c>
      <c r="G201" s="3" t="str">
        <f t="shared" si="6"/>
        <v/>
      </c>
      <c r="H201" s="2" t="str">
        <f>IF('ET - Rectangular (PNEZD)'!H203="","",'ET - Rectangular (PNEZD)'!H203)</f>
        <v/>
      </c>
    </row>
    <row r="202" spans="1:8" x14ac:dyDescent="0.25">
      <c r="A202" s="3">
        <v>198</v>
      </c>
      <c r="B202" s="3" t="str">
        <f>IF('ET - Rectangular (PNEZD)'!B204="","",'ET - Rectangular (PNEZD)'!B204)</f>
        <v/>
      </c>
      <c r="C202" s="4" t="str">
        <f>IF('ET - Rectangular (PNEZD)'!C204="","",'ET - Rectangular (PNEZD)'!C204)</f>
        <v/>
      </c>
      <c r="D202" s="4" t="str">
        <f>IF('ET - Rectangular (PNEZD)'!D204="","",'ET - Rectangular (PNEZD)'!D204)</f>
        <v/>
      </c>
      <c r="E202" s="4" t="str">
        <f>IF('ET - Rectangular (PNEZD)'!E204="","",'ET - Rectangular (PNEZD)'!E204)</f>
        <v/>
      </c>
      <c r="F202" s="3" t="str">
        <f>IF('ET - Rectangular (PNEZD)'!F204="","",'ET - Rectangular (PNEZD)'!F204)</f>
        <v/>
      </c>
      <c r="G202" s="3" t="str">
        <f t="shared" si="6"/>
        <v/>
      </c>
      <c r="H202" s="2" t="str">
        <f>IF('ET - Rectangular (PNEZD)'!H204="","",'ET - Rectangular (PNEZD)'!H204)</f>
        <v/>
      </c>
    </row>
    <row r="203" spans="1:8" x14ac:dyDescent="0.25">
      <c r="A203" s="3">
        <v>199</v>
      </c>
      <c r="B203" s="3" t="str">
        <f>IF('ET - Rectangular (PNEZD)'!B205="","",'ET - Rectangular (PNEZD)'!B205)</f>
        <v/>
      </c>
      <c r="C203" s="4" t="str">
        <f>IF('ET - Rectangular (PNEZD)'!C205="","",'ET - Rectangular (PNEZD)'!C205)</f>
        <v/>
      </c>
      <c r="D203" s="4" t="str">
        <f>IF('ET - Rectangular (PNEZD)'!D205="","",'ET - Rectangular (PNEZD)'!D205)</f>
        <v/>
      </c>
      <c r="E203" s="4" t="str">
        <f>IF('ET - Rectangular (PNEZD)'!E205="","",'ET - Rectangular (PNEZD)'!E205)</f>
        <v/>
      </c>
      <c r="F203" s="3" t="str">
        <f>IF('ET - Rectangular (PNEZD)'!F205="","",'ET - Rectangular (PNEZD)'!F205)</f>
        <v/>
      </c>
      <c r="G203" s="3" t="str">
        <f t="shared" si="6"/>
        <v/>
      </c>
      <c r="H203" s="2" t="str">
        <f>IF('ET - Rectangular (PNEZD)'!H205="","",'ET - Rectangular (PNEZD)'!H205)</f>
        <v/>
      </c>
    </row>
    <row r="204" spans="1:8" x14ac:dyDescent="0.25">
      <c r="A204" s="3">
        <v>200</v>
      </c>
      <c r="B204" s="3" t="str">
        <f>IF('ET - Rectangular (PNEZD)'!B206="","",'ET - Rectangular (PNEZD)'!B206)</f>
        <v/>
      </c>
      <c r="C204" s="4" t="str">
        <f>IF('ET - Rectangular (PNEZD)'!C206="","",'ET - Rectangular (PNEZD)'!C206)</f>
        <v/>
      </c>
      <c r="D204" s="4" t="str">
        <f>IF('ET - Rectangular (PNEZD)'!D206="","",'ET - Rectangular (PNEZD)'!D206)</f>
        <v/>
      </c>
      <c r="E204" s="4" t="str">
        <f>IF('ET - Rectangular (PNEZD)'!E206="","",'ET - Rectangular (PNEZD)'!E206)</f>
        <v/>
      </c>
      <c r="F204" s="3" t="str">
        <f>IF('ET - Rectangular (PNEZD)'!F206="","",'ET - Rectangular (PNEZD)'!F206)</f>
        <v/>
      </c>
      <c r="G204" s="3" t="str">
        <f t="shared" si="6"/>
        <v/>
      </c>
      <c r="H204" s="2" t="str">
        <f>IF('ET - Rectangular (PNEZD)'!H206="","",'ET - Rectangular (PNEZD)'!H206)</f>
        <v/>
      </c>
    </row>
  </sheetData>
  <sheetProtection algorithmName="SHA-512" hashValue="lGmqo5qF+1waZezrV8uKpljDrsSmLh2ODac724PLxmWsaV0WZgyuG59zRSaV/W+1zslYtVsNltg9hm61RoeMxQ==" saltValue="FJt2cjoSvHIBQ7tl7lcTsw==" spinCount="100000" sheet="1" objects="1" scenarios="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Configuración</vt:lpstr>
      <vt:lpstr>ET - Polar (crudo)</vt:lpstr>
      <vt:lpstr>ET - Rectangular (PNEZD)</vt:lpstr>
      <vt:lpstr>Nivel - Altura Instrumento</vt:lpstr>
      <vt:lpstr>Nivel - Diferencias</vt:lpstr>
      <vt:lpstr>Resumen Puntos</vt:lpstr>
      <vt:lpstr>E_base</vt:lpstr>
      <vt:lpstr>hi_ET</vt:lpstr>
      <vt:lpstr>N_base</vt:lpstr>
      <vt:lpstr>Z_base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2026-07-16T14:59:48Z</dcterms:created>
  <dcterms:modified xsi:type="dcterms:W3CDTF">2026-08-10T17:23:46Z</dcterms:modified>
</cp:coreProperties>
</file>